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500" firstSheet="7" activeTab="10"/>
  </bookViews>
  <sheets>
    <sheet name="Total Loans" sheetId="2" r:id="rId1"/>
    <sheet name="Total Loan Amount" sheetId="3" r:id="rId2"/>
    <sheet name="Sheet3" sheetId="4" r:id="rId3"/>
    <sheet name="Loan Status Analysis" sheetId="5" r:id="rId4"/>
    <sheet name="loan by gender " sheetId="6" r:id="rId5"/>
    <sheet name="loan by employement " sheetId="7" r:id="rId6"/>
    <sheet name="Loan by State" sheetId="8" r:id="rId7"/>
    <sheet name="loan by purpose " sheetId="9" r:id="rId8"/>
    <sheet name="Default Analysis" sheetId="10" r:id="rId9"/>
    <sheet name="BankLoanData" sheetId="1" r:id="rId10"/>
    <sheet name="Dashboard" sheetId="11" r:id="rId11"/>
  </sheets>
  <definedNames>
    <definedName name="Slicer_Employment">#N/A</definedName>
    <definedName name="Slicer_Gender">#N/A</definedName>
    <definedName name="Slicer_Loan_Status">#N/A</definedName>
    <definedName name="Slicer_Purpose">#N/A</definedName>
    <definedName name="Slicer_State">#N/A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6" i="11" l="1"/>
  <c r="D6" i="11"/>
  <c r="H6" i="11"/>
</calcChain>
</file>

<file path=xl/sharedStrings.xml><?xml version="1.0" encoding="utf-8"?>
<sst xmlns="http://schemas.openxmlformats.org/spreadsheetml/2006/main" count="10063" uniqueCount="2050">
  <si>
    <t>Loan_ID</t>
  </si>
  <si>
    <t>Customer_ID</t>
  </si>
  <si>
    <t>Gender</t>
  </si>
  <si>
    <t>Age</t>
  </si>
  <si>
    <t>Marital_Status</t>
  </si>
  <si>
    <t>Education</t>
  </si>
  <si>
    <t>Employment</t>
  </si>
  <si>
    <t>Annual_Income</t>
  </si>
  <si>
    <t>Credit_Score</t>
  </si>
  <si>
    <t>Loan_Amount</t>
  </si>
  <si>
    <t>Loan_Term_Months</t>
  </si>
  <si>
    <t>Interest_Rate</t>
  </si>
  <si>
    <t>Purpose</t>
  </si>
  <si>
    <t>State</t>
  </si>
  <si>
    <t>Loan_Status</t>
  </si>
  <si>
    <t>EMI</t>
  </si>
  <si>
    <t>Outstanding_Balance</t>
  </si>
  <si>
    <t>Default</t>
  </si>
  <si>
    <t>Application_Date</t>
  </si>
  <si>
    <t>L00001</t>
  </si>
  <si>
    <t>C10002</t>
  </si>
  <si>
    <t>Male</t>
  </si>
  <si>
    <t>Single</t>
  </si>
  <si>
    <t>Non Graduate</t>
  </si>
  <si>
    <t>Salaried</t>
  </si>
  <si>
    <t>Car</t>
  </si>
  <si>
    <t>Maharashtra</t>
  </si>
  <si>
    <t>Approved</t>
  </si>
  <si>
    <t>No</t>
  </si>
  <si>
    <t>L00002</t>
  </si>
  <si>
    <t>C10003</t>
  </si>
  <si>
    <t>Female</t>
  </si>
  <si>
    <t>Married</t>
  </si>
  <si>
    <t>Self Employed</t>
  </si>
  <si>
    <t>Delhi</t>
  </si>
  <si>
    <t>Yes</t>
  </si>
  <si>
    <t>L00003</t>
  </si>
  <si>
    <t>C10004</t>
  </si>
  <si>
    <t>Kerala</t>
  </si>
  <si>
    <t>Rejected</t>
  </si>
  <si>
    <t>L00004</t>
  </si>
  <si>
    <t>C10005</t>
  </si>
  <si>
    <t>Graduate</t>
  </si>
  <si>
    <t>Business</t>
  </si>
  <si>
    <t>Telangana</t>
  </si>
  <si>
    <t>L00005</t>
  </si>
  <si>
    <t>C10006</t>
  </si>
  <si>
    <t>L00006</t>
  </si>
  <si>
    <t>C10007</t>
  </si>
  <si>
    <t>L00007</t>
  </si>
  <si>
    <t>C10008</t>
  </si>
  <si>
    <t>Tamil Nadu</t>
  </si>
  <si>
    <t>L00008</t>
  </si>
  <si>
    <t>C10009</t>
  </si>
  <si>
    <t>Home</t>
  </si>
  <si>
    <t>L00009</t>
  </si>
  <si>
    <t>C10010</t>
  </si>
  <si>
    <t>Personal</t>
  </si>
  <si>
    <t>L00010</t>
  </si>
  <si>
    <t>C10011</t>
  </si>
  <si>
    <t>L00011</t>
  </si>
  <si>
    <t>C10012</t>
  </si>
  <si>
    <t>L00012</t>
  </si>
  <si>
    <t>C10013</t>
  </si>
  <si>
    <t>L00013</t>
  </si>
  <si>
    <t>C10014</t>
  </si>
  <si>
    <t>L00014</t>
  </si>
  <si>
    <t>C10015</t>
  </si>
  <si>
    <t>L00015</t>
  </si>
  <si>
    <t>C10016</t>
  </si>
  <si>
    <t>L00016</t>
  </si>
  <si>
    <t>C10017</t>
  </si>
  <si>
    <t>L00017</t>
  </si>
  <si>
    <t>C10018</t>
  </si>
  <si>
    <t>L00018</t>
  </si>
  <si>
    <t>C10019</t>
  </si>
  <si>
    <t>L00019</t>
  </si>
  <si>
    <t>C10020</t>
  </si>
  <si>
    <t>L00020</t>
  </si>
  <si>
    <t>C10021</t>
  </si>
  <si>
    <t>L00021</t>
  </si>
  <si>
    <t>C10022</t>
  </si>
  <si>
    <t>L00022</t>
  </si>
  <si>
    <t>C10023</t>
  </si>
  <si>
    <t>L00023</t>
  </si>
  <si>
    <t>C10024</t>
  </si>
  <si>
    <t>L00024</t>
  </si>
  <si>
    <t>C10025</t>
  </si>
  <si>
    <t>L00025</t>
  </si>
  <si>
    <t>C10026</t>
  </si>
  <si>
    <t>L00026</t>
  </si>
  <si>
    <t>C10027</t>
  </si>
  <si>
    <t>L00027</t>
  </si>
  <si>
    <t>C10028</t>
  </si>
  <si>
    <t>L00028</t>
  </si>
  <si>
    <t>C10029</t>
  </si>
  <si>
    <t>L00029</t>
  </si>
  <si>
    <t>C10030</t>
  </si>
  <si>
    <t>L00030</t>
  </si>
  <si>
    <t>C10031</t>
  </si>
  <si>
    <t>L00031</t>
  </si>
  <si>
    <t>C10032</t>
  </si>
  <si>
    <t>L00032</t>
  </si>
  <si>
    <t>C10033</t>
  </si>
  <si>
    <t>Karnataka</t>
  </si>
  <si>
    <t>L00033</t>
  </si>
  <si>
    <t>C10034</t>
  </si>
  <si>
    <t>L00034</t>
  </si>
  <si>
    <t>C10035</t>
  </si>
  <si>
    <t>L00035</t>
  </si>
  <si>
    <t>C10036</t>
  </si>
  <si>
    <t>L00036</t>
  </si>
  <si>
    <t>C10037</t>
  </si>
  <si>
    <t>L00037</t>
  </si>
  <si>
    <t>C10038</t>
  </si>
  <si>
    <t>L00038</t>
  </si>
  <si>
    <t>C10039</t>
  </si>
  <si>
    <t>L00039</t>
  </si>
  <si>
    <t>C10040</t>
  </si>
  <si>
    <t>L00040</t>
  </si>
  <si>
    <t>C10041</t>
  </si>
  <si>
    <t>L00041</t>
  </si>
  <si>
    <t>C10042</t>
  </si>
  <si>
    <t>L00042</t>
  </si>
  <si>
    <t>C10043</t>
  </si>
  <si>
    <t>L00043</t>
  </si>
  <si>
    <t>C10044</t>
  </si>
  <si>
    <t>L00044</t>
  </si>
  <si>
    <t>C10045</t>
  </si>
  <si>
    <t>L00045</t>
  </si>
  <si>
    <t>C10046</t>
  </si>
  <si>
    <t>L00046</t>
  </si>
  <si>
    <t>C10047</t>
  </si>
  <si>
    <t>L00047</t>
  </si>
  <si>
    <t>C10048</t>
  </si>
  <si>
    <t>L00048</t>
  </si>
  <si>
    <t>C10049</t>
  </si>
  <si>
    <t>L00049</t>
  </si>
  <si>
    <t>C10050</t>
  </si>
  <si>
    <t>L00050</t>
  </si>
  <si>
    <t>C10051</t>
  </si>
  <si>
    <t>L00051</t>
  </si>
  <si>
    <t>C10052</t>
  </si>
  <si>
    <t>L00052</t>
  </si>
  <si>
    <t>C10053</t>
  </si>
  <si>
    <t>L00053</t>
  </si>
  <si>
    <t>C10054</t>
  </si>
  <si>
    <t>L00054</t>
  </si>
  <si>
    <t>C10055</t>
  </si>
  <si>
    <t>L00055</t>
  </si>
  <si>
    <t>C10056</t>
  </si>
  <si>
    <t>L00056</t>
  </si>
  <si>
    <t>C10057</t>
  </si>
  <si>
    <t>L00057</t>
  </si>
  <si>
    <t>C10058</t>
  </si>
  <si>
    <t>L00058</t>
  </si>
  <si>
    <t>C10059</t>
  </si>
  <si>
    <t>L00059</t>
  </si>
  <si>
    <t>C10060</t>
  </si>
  <si>
    <t>L00060</t>
  </si>
  <si>
    <t>C10061</t>
  </si>
  <si>
    <t>L00061</t>
  </si>
  <si>
    <t>C10062</t>
  </si>
  <si>
    <t>L00062</t>
  </si>
  <si>
    <t>C10063</t>
  </si>
  <si>
    <t>L00063</t>
  </si>
  <si>
    <t>C10064</t>
  </si>
  <si>
    <t>L00064</t>
  </si>
  <si>
    <t>C10065</t>
  </si>
  <si>
    <t>L00065</t>
  </si>
  <si>
    <t>C10066</t>
  </si>
  <si>
    <t>L00066</t>
  </si>
  <si>
    <t>C10067</t>
  </si>
  <si>
    <t>L00067</t>
  </si>
  <si>
    <t>C10068</t>
  </si>
  <si>
    <t>L00068</t>
  </si>
  <si>
    <t>C10069</t>
  </si>
  <si>
    <t>L00069</t>
  </si>
  <si>
    <t>C10070</t>
  </si>
  <si>
    <t>L00070</t>
  </si>
  <si>
    <t>C10071</t>
  </si>
  <si>
    <t>L00071</t>
  </si>
  <si>
    <t>C10072</t>
  </si>
  <si>
    <t>L00072</t>
  </si>
  <si>
    <t>C10073</t>
  </si>
  <si>
    <t>L00073</t>
  </si>
  <si>
    <t>C10074</t>
  </si>
  <si>
    <t>L00074</t>
  </si>
  <si>
    <t>C10075</t>
  </si>
  <si>
    <t>L00075</t>
  </si>
  <si>
    <t>C10076</t>
  </si>
  <si>
    <t>L00076</t>
  </si>
  <si>
    <t>C10077</t>
  </si>
  <si>
    <t>L00077</t>
  </si>
  <si>
    <t>C10078</t>
  </si>
  <si>
    <t>L00078</t>
  </si>
  <si>
    <t>C10079</t>
  </si>
  <si>
    <t>L00079</t>
  </si>
  <si>
    <t>C10080</t>
  </si>
  <si>
    <t>L00080</t>
  </si>
  <si>
    <t>C10081</t>
  </si>
  <si>
    <t>L00081</t>
  </si>
  <si>
    <t>C10082</t>
  </si>
  <si>
    <t>L00082</t>
  </si>
  <si>
    <t>C10083</t>
  </si>
  <si>
    <t>L00083</t>
  </si>
  <si>
    <t>C10084</t>
  </si>
  <si>
    <t>L00084</t>
  </si>
  <si>
    <t>C10085</t>
  </si>
  <si>
    <t>L00085</t>
  </si>
  <si>
    <t>C10086</t>
  </si>
  <si>
    <t>L00086</t>
  </si>
  <si>
    <t>C10087</t>
  </si>
  <si>
    <t>L00087</t>
  </si>
  <si>
    <t>C10088</t>
  </si>
  <si>
    <t>L00088</t>
  </si>
  <si>
    <t>C10089</t>
  </si>
  <si>
    <t>L00089</t>
  </si>
  <si>
    <t>C10090</t>
  </si>
  <si>
    <t>L00090</t>
  </si>
  <si>
    <t>C10091</t>
  </si>
  <si>
    <t>L00091</t>
  </si>
  <si>
    <t>C10092</t>
  </si>
  <si>
    <t>L00092</t>
  </si>
  <si>
    <t>C10093</t>
  </si>
  <si>
    <t>L00093</t>
  </si>
  <si>
    <t>C10094</t>
  </si>
  <si>
    <t>L00094</t>
  </si>
  <si>
    <t>C10095</t>
  </si>
  <si>
    <t>L00095</t>
  </si>
  <si>
    <t>C10096</t>
  </si>
  <si>
    <t>L00096</t>
  </si>
  <si>
    <t>C10097</t>
  </si>
  <si>
    <t>L00097</t>
  </si>
  <si>
    <t>C10098</t>
  </si>
  <si>
    <t>L00098</t>
  </si>
  <si>
    <t>C10099</t>
  </si>
  <si>
    <t>L00099</t>
  </si>
  <si>
    <t>C10100</t>
  </si>
  <si>
    <t>L00100</t>
  </si>
  <si>
    <t>C10101</t>
  </si>
  <si>
    <t>L00101</t>
  </si>
  <si>
    <t>C10102</t>
  </si>
  <si>
    <t>L00102</t>
  </si>
  <si>
    <t>C10103</t>
  </si>
  <si>
    <t>L00103</t>
  </si>
  <si>
    <t>C10104</t>
  </si>
  <si>
    <t>L00104</t>
  </si>
  <si>
    <t>C10105</t>
  </si>
  <si>
    <t>L00105</t>
  </si>
  <si>
    <t>C10106</t>
  </si>
  <si>
    <t>L00106</t>
  </si>
  <si>
    <t>C10107</t>
  </si>
  <si>
    <t>L00107</t>
  </si>
  <si>
    <t>C10108</t>
  </si>
  <si>
    <t>L00108</t>
  </si>
  <si>
    <t>C10109</t>
  </si>
  <si>
    <t>L00109</t>
  </si>
  <si>
    <t>C10110</t>
  </si>
  <si>
    <t>L00110</t>
  </si>
  <si>
    <t>C10111</t>
  </si>
  <si>
    <t>L00111</t>
  </si>
  <si>
    <t>C10112</t>
  </si>
  <si>
    <t>L00112</t>
  </si>
  <si>
    <t>C10113</t>
  </si>
  <si>
    <t>L00113</t>
  </si>
  <si>
    <t>C10114</t>
  </si>
  <si>
    <t>L00114</t>
  </si>
  <si>
    <t>C10115</t>
  </si>
  <si>
    <t>L00115</t>
  </si>
  <si>
    <t>C10116</t>
  </si>
  <si>
    <t>L00116</t>
  </si>
  <si>
    <t>C10117</t>
  </si>
  <si>
    <t>L00117</t>
  </si>
  <si>
    <t>C10118</t>
  </si>
  <si>
    <t>L00118</t>
  </si>
  <si>
    <t>C10119</t>
  </si>
  <si>
    <t>L00119</t>
  </si>
  <si>
    <t>C10120</t>
  </si>
  <si>
    <t>L00120</t>
  </si>
  <si>
    <t>C10121</t>
  </si>
  <si>
    <t>L00121</t>
  </si>
  <si>
    <t>C10122</t>
  </si>
  <si>
    <t>L00122</t>
  </si>
  <si>
    <t>C10123</t>
  </si>
  <si>
    <t>L00123</t>
  </si>
  <si>
    <t>C10124</t>
  </si>
  <si>
    <t>L00124</t>
  </si>
  <si>
    <t>C10125</t>
  </si>
  <si>
    <t>L00125</t>
  </si>
  <si>
    <t>C10126</t>
  </si>
  <si>
    <t>L00126</t>
  </si>
  <si>
    <t>C10127</t>
  </si>
  <si>
    <t>L00127</t>
  </si>
  <si>
    <t>C10128</t>
  </si>
  <si>
    <t>L00128</t>
  </si>
  <si>
    <t>C10129</t>
  </si>
  <si>
    <t>L00129</t>
  </si>
  <si>
    <t>C10130</t>
  </si>
  <si>
    <t>L00130</t>
  </si>
  <si>
    <t>C10131</t>
  </si>
  <si>
    <t>L00131</t>
  </si>
  <si>
    <t>C10132</t>
  </si>
  <si>
    <t>L00132</t>
  </si>
  <si>
    <t>C10133</t>
  </si>
  <si>
    <t>L00133</t>
  </si>
  <si>
    <t>C10134</t>
  </si>
  <si>
    <t>L00134</t>
  </si>
  <si>
    <t>C10135</t>
  </si>
  <si>
    <t>L00135</t>
  </si>
  <si>
    <t>C10136</t>
  </si>
  <si>
    <t>L00136</t>
  </si>
  <si>
    <t>C10137</t>
  </si>
  <si>
    <t>L00137</t>
  </si>
  <si>
    <t>C10138</t>
  </si>
  <si>
    <t>L00138</t>
  </si>
  <si>
    <t>C10139</t>
  </si>
  <si>
    <t>L00139</t>
  </si>
  <si>
    <t>C10140</t>
  </si>
  <si>
    <t>L00140</t>
  </si>
  <si>
    <t>C10141</t>
  </si>
  <si>
    <t>L00141</t>
  </si>
  <si>
    <t>C10142</t>
  </si>
  <si>
    <t>L00142</t>
  </si>
  <si>
    <t>C10143</t>
  </si>
  <si>
    <t>L00143</t>
  </si>
  <si>
    <t>C10144</t>
  </si>
  <si>
    <t>L00144</t>
  </si>
  <si>
    <t>C10145</t>
  </si>
  <si>
    <t>L00145</t>
  </si>
  <si>
    <t>C10146</t>
  </si>
  <si>
    <t>L00146</t>
  </si>
  <si>
    <t>C10147</t>
  </si>
  <si>
    <t>L00147</t>
  </si>
  <si>
    <t>C10148</t>
  </si>
  <si>
    <t>L00148</t>
  </si>
  <si>
    <t>C10149</t>
  </si>
  <si>
    <t>L00149</t>
  </si>
  <si>
    <t>C10150</t>
  </si>
  <si>
    <t>L00150</t>
  </si>
  <si>
    <t>C10151</t>
  </si>
  <si>
    <t>L00151</t>
  </si>
  <si>
    <t>C10152</t>
  </si>
  <si>
    <t>L00152</t>
  </si>
  <si>
    <t>C10153</t>
  </si>
  <si>
    <t>L00153</t>
  </si>
  <si>
    <t>C10154</t>
  </si>
  <si>
    <t>L00154</t>
  </si>
  <si>
    <t>C10155</t>
  </si>
  <si>
    <t>L00155</t>
  </si>
  <si>
    <t>C10156</t>
  </si>
  <si>
    <t>L00156</t>
  </si>
  <si>
    <t>C10157</t>
  </si>
  <si>
    <t>L00157</t>
  </si>
  <si>
    <t>C10158</t>
  </si>
  <si>
    <t>L00158</t>
  </si>
  <si>
    <t>C10159</t>
  </si>
  <si>
    <t>L00159</t>
  </si>
  <si>
    <t>C10160</t>
  </si>
  <si>
    <t>L00160</t>
  </si>
  <si>
    <t>C10161</t>
  </si>
  <si>
    <t>L00161</t>
  </si>
  <si>
    <t>C10162</t>
  </si>
  <si>
    <t>L00162</t>
  </si>
  <si>
    <t>C10163</t>
  </si>
  <si>
    <t>L00163</t>
  </si>
  <si>
    <t>C10164</t>
  </si>
  <si>
    <t>L00164</t>
  </si>
  <si>
    <t>C10165</t>
  </si>
  <si>
    <t>L00165</t>
  </si>
  <si>
    <t>C10166</t>
  </si>
  <si>
    <t>L00166</t>
  </si>
  <si>
    <t>C10167</t>
  </si>
  <si>
    <t>L00167</t>
  </si>
  <si>
    <t>C10168</t>
  </si>
  <si>
    <t>L00168</t>
  </si>
  <si>
    <t>C10169</t>
  </si>
  <si>
    <t>L00169</t>
  </si>
  <si>
    <t>C10170</t>
  </si>
  <si>
    <t>L00170</t>
  </si>
  <si>
    <t>C10171</t>
  </si>
  <si>
    <t>L00171</t>
  </si>
  <si>
    <t>C10172</t>
  </si>
  <si>
    <t>L00172</t>
  </si>
  <si>
    <t>C10173</t>
  </si>
  <si>
    <t>L00173</t>
  </si>
  <si>
    <t>C10174</t>
  </si>
  <si>
    <t>L00174</t>
  </si>
  <si>
    <t>C10175</t>
  </si>
  <si>
    <t>L00175</t>
  </si>
  <si>
    <t>C10176</t>
  </si>
  <si>
    <t>L00176</t>
  </si>
  <si>
    <t>C10177</t>
  </si>
  <si>
    <t>L00177</t>
  </si>
  <si>
    <t>C10178</t>
  </si>
  <si>
    <t>L00178</t>
  </si>
  <si>
    <t>C10179</t>
  </si>
  <si>
    <t>L00179</t>
  </si>
  <si>
    <t>C10180</t>
  </si>
  <si>
    <t>L00180</t>
  </si>
  <si>
    <t>C10181</t>
  </si>
  <si>
    <t>L00181</t>
  </si>
  <si>
    <t>C10182</t>
  </si>
  <si>
    <t>L00182</t>
  </si>
  <si>
    <t>C10183</t>
  </si>
  <si>
    <t>L00183</t>
  </si>
  <si>
    <t>C10184</t>
  </si>
  <si>
    <t>L00184</t>
  </si>
  <si>
    <t>C10185</t>
  </si>
  <si>
    <t>L00185</t>
  </si>
  <si>
    <t>C10186</t>
  </si>
  <si>
    <t>L00186</t>
  </si>
  <si>
    <t>C10187</t>
  </si>
  <si>
    <t>L00187</t>
  </si>
  <si>
    <t>C10188</t>
  </si>
  <si>
    <t>L00188</t>
  </si>
  <si>
    <t>C10189</t>
  </si>
  <si>
    <t>L00189</t>
  </si>
  <si>
    <t>C10190</t>
  </si>
  <si>
    <t>L00190</t>
  </si>
  <si>
    <t>C10191</t>
  </si>
  <si>
    <t>L00191</t>
  </si>
  <si>
    <t>C10192</t>
  </si>
  <si>
    <t>L00192</t>
  </si>
  <si>
    <t>C10193</t>
  </si>
  <si>
    <t>L00193</t>
  </si>
  <si>
    <t>C10194</t>
  </si>
  <si>
    <t>L00194</t>
  </si>
  <si>
    <t>C10195</t>
  </si>
  <si>
    <t>L00195</t>
  </si>
  <si>
    <t>C10196</t>
  </si>
  <si>
    <t>L00196</t>
  </si>
  <si>
    <t>C10197</t>
  </si>
  <si>
    <t>L00197</t>
  </si>
  <si>
    <t>C10198</t>
  </si>
  <si>
    <t>L00198</t>
  </si>
  <si>
    <t>C10199</t>
  </si>
  <si>
    <t>L00199</t>
  </si>
  <si>
    <t>C10200</t>
  </si>
  <si>
    <t>L00200</t>
  </si>
  <si>
    <t>C10201</t>
  </si>
  <si>
    <t>L00201</t>
  </si>
  <si>
    <t>C10202</t>
  </si>
  <si>
    <t>L00202</t>
  </si>
  <si>
    <t>C10203</t>
  </si>
  <si>
    <t>L00203</t>
  </si>
  <si>
    <t>C10204</t>
  </si>
  <si>
    <t>L00204</t>
  </si>
  <si>
    <t>C10205</t>
  </si>
  <si>
    <t>L00205</t>
  </si>
  <si>
    <t>C10206</t>
  </si>
  <si>
    <t>L00206</t>
  </si>
  <si>
    <t>C10207</t>
  </si>
  <si>
    <t>L00207</t>
  </si>
  <si>
    <t>C10208</t>
  </si>
  <si>
    <t>L00208</t>
  </si>
  <si>
    <t>C10209</t>
  </si>
  <si>
    <t>L00209</t>
  </si>
  <si>
    <t>C10210</t>
  </si>
  <si>
    <t>L00210</t>
  </si>
  <si>
    <t>C10211</t>
  </si>
  <si>
    <t>L00211</t>
  </si>
  <si>
    <t>C10212</t>
  </si>
  <si>
    <t>L00212</t>
  </si>
  <si>
    <t>C10213</t>
  </si>
  <si>
    <t>L00213</t>
  </si>
  <si>
    <t>C10214</t>
  </si>
  <si>
    <t>L00214</t>
  </si>
  <si>
    <t>C10215</t>
  </si>
  <si>
    <t>L00215</t>
  </si>
  <si>
    <t>C10216</t>
  </si>
  <si>
    <t>L00216</t>
  </si>
  <si>
    <t>C10217</t>
  </si>
  <si>
    <t>L00217</t>
  </si>
  <si>
    <t>C10218</t>
  </si>
  <si>
    <t>L00218</t>
  </si>
  <si>
    <t>C10219</t>
  </si>
  <si>
    <t>L00219</t>
  </si>
  <si>
    <t>C10220</t>
  </si>
  <si>
    <t>L00220</t>
  </si>
  <si>
    <t>C10221</t>
  </si>
  <si>
    <t>L00221</t>
  </si>
  <si>
    <t>C10222</t>
  </si>
  <si>
    <t>L00222</t>
  </si>
  <si>
    <t>C10223</t>
  </si>
  <si>
    <t>L00223</t>
  </si>
  <si>
    <t>C10224</t>
  </si>
  <si>
    <t>L00224</t>
  </si>
  <si>
    <t>C10225</t>
  </si>
  <si>
    <t>L00225</t>
  </si>
  <si>
    <t>C10226</t>
  </si>
  <si>
    <t>L00226</t>
  </si>
  <si>
    <t>C10227</t>
  </si>
  <si>
    <t>L00227</t>
  </si>
  <si>
    <t>C10228</t>
  </si>
  <si>
    <t>L00228</t>
  </si>
  <si>
    <t>C10229</t>
  </si>
  <si>
    <t>L00229</t>
  </si>
  <si>
    <t>C10230</t>
  </si>
  <si>
    <t>L00230</t>
  </si>
  <si>
    <t>C10231</t>
  </si>
  <si>
    <t>L00231</t>
  </si>
  <si>
    <t>C10232</t>
  </si>
  <si>
    <t>L00232</t>
  </si>
  <si>
    <t>C10233</t>
  </si>
  <si>
    <t>L00233</t>
  </si>
  <si>
    <t>C10234</t>
  </si>
  <si>
    <t>L00234</t>
  </si>
  <si>
    <t>C10235</t>
  </si>
  <si>
    <t>L00235</t>
  </si>
  <si>
    <t>C10236</t>
  </si>
  <si>
    <t>L00236</t>
  </si>
  <si>
    <t>C10237</t>
  </si>
  <si>
    <t>L00237</t>
  </si>
  <si>
    <t>C10238</t>
  </si>
  <si>
    <t>L00238</t>
  </si>
  <si>
    <t>C10239</t>
  </si>
  <si>
    <t>L00239</t>
  </si>
  <si>
    <t>C10240</t>
  </si>
  <si>
    <t>L00240</t>
  </si>
  <si>
    <t>C10241</t>
  </si>
  <si>
    <t>L00241</t>
  </si>
  <si>
    <t>C10242</t>
  </si>
  <si>
    <t>L00242</t>
  </si>
  <si>
    <t>C10243</t>
  </si>
  <si>
    <t>L00243</t>
  </si>
  <si>
    <t>C10244</t>
  </si>
  <si>
    <t>L00244</t>
  </si>
  <si>
    <t>C10245</t>
  </si>
  <si>
    <t>L00245</t>
  </si>
  <si>
    <t>C10246</t>
  </si>
  <si>
    <t>L00246</t>
  </si>
  <si>
    <t>C10247</t>
  </si>
  <si>
    <t>L00247</t>
  </si>
  <si>
    <t>C10248</t>
  </si>
  <si>
    <t>L00248</t>
  </si>
  <si>
    <t>C10249</t>
  </si>
  <si>
    <t>L00249</t>
  </si>
  <si>
    <t>C10250</t>
  </si>
  <si>
    <t>L00250</t>
  </si>
  <si>
    <t>C10251</t>
  </si>
  <si>
    <t>L00251</t>
  </si>
  <si>
    <t>C10252</t>
  </si>
  <si>
    <t>L00252</t>
  </si>
  <si>
    <t>C10253</t>
  </si>
  <si>
    <t>L00253</t>
  </si>
  <si>
    <t>C10254</t>
  </si>
  <si>
    <t>L00254</t>
  </si>
  <si>
    <t>C10255</t>
  </si>
  <si>
    <t>L00255</t>
  </si>
  <si>
    <t>C10256</t>
  </si>
  <si>
    <t>L00256</t>
  </si>
  <si>
    <t>C10257</t>
  </si>
  <si>
    <t>L00257</t>
  </si>
  <si>
    <t>C10258</t>
  </si>
  <si>
    <t>L00258</t>
  </si>
  <si>
    <t>C10259</t>
  </si>
  <si>
    <t>L00259</t>
  </si>
  <si>
    <t>C10260</t>
  </si>
  <si>
    <t>L00260</t>
  </si>
  <si>
    <t>C10261</t>
  </si>
  <si>
    <t>L00261</t>
  </si>
  <si>
    <t>C10262</t>
  </si>
  <si>
    <t>L00262</t>
  </si>
  <si>
    <t>C10263</t>
  </si>
  <si>
    <t>L00263</t>
  </si>
  <si>
    <t>C10264</t>
  </si>
  <si>
    <t>L00264</t>
  </si>
  <si>
    <t>C10265</t>
  </si>
  <si>
    <t>L00265</t>
  </si>
  <si>
    <t>C10266</t>
  </si>
  <si>
    <t>L00266</t>
  </si>
  <si>
    <t>C10267</t>
  </si>
  <si>
    <t>L00267</t>
  </si>
  <si>
    <t>C10268</t>
  </si>
  <si>
    <t>L00268</t>
  </si>
  <si>
    <t>C10269</t>
  </si>
  <si>
    <t>L00269</t>
  </si>
  <si>
    <t>C10270</t>
  </si>
  <si>
    <t>L00270</t>
  </si>
  <si>
    <t>C10271</t>
  </si>
  <si>
    <t>L00271</t>
  </si>
  <si>
    <t>C10272</t>
  </si>
  <si>
    <t>L00272</t>
  </si>
  <si>
    <t>C10273</t>
  </si>
  <si>
    <t>L00273</t>
  </si>
  <si>
    <t>C10274</t>
  </si>
  <si>
    <t>L00274</t>
  </si>
  <si>
    <t>C10275</t>
  </si>
  <si>
    <t>L00275</t>
  </si>
  <si>
    <t>C10276</t>
  </si>
  <si>
    <t>L00276</t>
  </si>
  <si>
    <t>C10277</t>
  </si>
  <si>
    <t>L00277</t>
  </si>
  <si>
    <t>C10278</t>
  </si>
  <si>
    <t>L00278</t>
  </si>
  <si>
    <t>C10279</t>
  </si>
  <si>
    <t>L00279</t>
  </si>
  <si>
    <t>C10280</t>
  </si>
  <si>
    <t>L00280</t>
  </si>
  <si>
    <t>C10281</t>
  </si>
  <si>
    <t>L00281</t>
  </si>
  <si>
    <t>C10282</t>
  </si>
  <si>
    <t>L00282</t>
  </si>
  <si>
    <t>C10283</t>
  </si>
  <si>
    <t>L00283</t>
  </si>
  <si>
    <t>C10284</t>
  </si>
  <si>
    <t>L00284</t>
  </si>
  <si>
    <t>C10285</t>
  </si>
  <si>
    <t>L00285</t>
  </si>
  <si>
    <t>C10286</t>
  </si>
  <si>
    <t>L00286</t>
  </si>
  <si>
    <t>C10287</t>
  </si>
  <si>
    <t>L00287</t>
  </si>
  <si>
    <t>C10288</t>
  </si>
  <si>
    <t>L00288</t>
  </si>
  <si>
    <t>C10289</t>
  </si>
  <si>
    <t>L00289</t>
  </si>
  <si>
    <t>C10290</t>
  </si>
  <si>
    <t>L00290</t>
  </si>
  <si>
    <t>C10291</t>
  </si>
  <si>
    <t>L00291</t>
  </si>
  <si>
    <t>C10292</t>
  </si>
  <si>
    <t>L00292</t>
  </si>
  <si>
    <t>C10293</t>
  </si>
  <si>
    <t>L00293</t>
  </si>
  <si>
    <t>C10294</t>
  </si>
  <si>
    <t>L00294</t>
  </si>
  <si>
    <t>C10295</t>
  </si>
  <si>
    <t>L00295</t>
  </si>
  <si>
    <t>C10296</t>
  </si>
  <si>
    <t>L00296</t>
  </si>
  <si>
    <t>C10297</t>
  </si>
  <si>
    <t>L00297</t>
  </si>
  <si>
    <t>C10298</t>
  </si>
  <si>
    <t>L00298</t>
  </si>
  <si>
    <t>C10299</t>
  </si>
  <si>
    <t>L00299</t>
  </si>
  <si>
    <t>C10300</t>
  </si>
  <si>
    <t>L00300</t>
  </si>
  <si>
    <t>C10301</t>
  </si>
  <si>
    <t>L00301</t>
  </si>
  <si>
    <t>C10302</t>
  </si>
  <si>
    <t>L00302</t>
  </si>
  <si>
    <t>C10303</t>
  </si>
  <si>
    <t>L00303</t>
  </si>
  <si>
    <t>C10304</t>
  </si>
  <si>
    <t>L00304</t>
  </si>
  <si>
    <t>C10305</t>
  </si>
  <si>
    <t>L00305</t>
  </si>
  <si>
    <t>C10306</t>
  </si>
  <si>
    <t>L00306</t>
  </si>
  <si>
    <t>C10307</t>
  </si>
  <si>
    <t>L00307</t>
  </si>
  <si>
    <t>C10308</t>
  </si>
  <si>
    <t>L00308</t>
  </si>
  <si>
    <t>C10309</t>
  </si>
  <si>
    <t>L00309</t>
  </si>
  <si>
    <t>C10310</t>
  </si>
  <si>
    <t>L00310</t>
  </si>
  <si>
    <t>C10311</t>
  </si>
  <si>
    <t>L00311</t>
  </si>
  <si>
    <t>C10312</t>
  </si>
  <si>
    <t>L00312</t>
  </si>
  <si>
    <t>C10313</t>
  </si>
  <si>
    <t>L00313</t>
  </si>
  <si>
    <t>C10314</t>
  </si>
  <si>
    <t>L00314</t>
  </si>
  <si>
    <t>C10315</t>
  </si>
  <si>
    <t>L00315</t>
  </si>
  <si>
    <t>C10316</t>
  </si>
  <si>
    <t>L00316</t>
  </si>
  <si>
    <t>C10317</t>
  </si>
  <si>
    <t>L00317</t>
  </si>
  <si>
    <t>C10318</t>
  </si>
  <si>
    <t>L00318</t>
  </si>
  <si>
    <t>C10319</t>
  </si>
  <si>
    <t>L00319</t>
  </si>
  <si>
    <t>C10320</t>
  </si>
  <si>
    <t>L00320</t>
  </si>
  <si>
    <t>C10321</t>
  </si>
  <si>
    <t>L00321</t>
  </si>
  <si>
    <t>C10322</t>
  </si>
  <si>
    <t>L00322</t>
  </si>
  <si>
    <t>C10323</t>
  </si>
  <si>
    <t>L00323</t>
  </si>
  <si>
    <t>C10324</t>
  </si>
  <si>
    <t>L00324</t>
  </si>
  <si>
    <t>C10325</t>
  </si>
  <si>
    <t>L00325</t>
  </si>
  <si>
    <t>C10326</t>
  </si>
  <si>
    <t>L00326</t>
  </si>
  <si>
    <t>C10327</t>
  </si>
  <si>
    <t>L00327</t>
  </si>
  <si>
    <t>C10328</t>
  </si>
  <si>
    <t>L00328</t>
  </si>
  <si>
    <t>C10329</t>
  </si>
  <si>
    <t>L00329</t>
  </si>
  <si>
    <t>C10330</t>
  </si>
  <si>
    <t>L00330</t>
  </si>
  <si>
    <t>C10331</t>
  </si>
  <si>
    <t>L00331</t>
  </si>
  <si>
    <t>C10332</t>
  </si>
  <si>
    <t>L00332</t>
  </si>
  <si>
    <t>C10333</t>
  </si>
  <si>
    <t>L00333</t>
  </si>
  <si>
    <t>C10334</t>
  </si>
  <si>
    <t>L00334</t>
  </si>
  <si>
    <t>C10335</t>
  </si>
  <si>
    <t>L00335</t>
  </si>
  <si>
    <t>C10336</t>
  </si>
  <si>
    <t>L00336</t>
  </si>
  <si>
    <t>C10337</t>
  </si>
  <si>
    <t>L00337</t>
  </si>
  <si>
    <t>C10338</t>
  </si>
  <si>
    <t>L00338</t>
  </si>
  <si>
    <t>C10339</t>
  </si>
  <si>
    <t>L00339</t>
  </si>
  <si>
    <t>C10340</t>
  </si>
  <si>
    <t>L00340</t>
  </si>
  <si>
    <t>C10341</t>
  </si>
  <si>
    <t>L00341</t>
  </si>
  <si>
    <t>C10342</t>
  </si>
  <si>
    <t>L00342</t>
  </si>
  <si>
    <t>C10343</t>
  </si>
  <si>
    <t>L00343</t>
  </si>
  <si>
    <t>C10344</t>
  </si>
  <si>
    <t>L00344</t>
  </si>
  <si>
    <t>C10345</t>
  </si>
  <si>
    <t>L00345</t>
  </si>
  <si>
    <t>C10346</t>
  </si>
  <si>
    <t>L00346</t>
  </si>
  <si>
    <t>C10347</t>
  </si>
  <si>
    <t>L00347</t>
  </si>
  <si>
    <t>C10348</t>
  </si>
  <si>
    <t>L00348</t>
  </si>
  <si>
    <t>C10349</t>
  </si>
  <si>
    <t>L00349</t>
  </si>
  <si>
    <t>C10350</t>
  </si>
  <si>
    <t>L00350</t>
  </si>
  <si>
    <t>C10351</t>
  </si>
  <si>
    <t>L00351</t>
  </si>
  <si>
    <t>C10352</t>
  </si>
  <si>
    <t>L00352</t>
  </si>
  <si>
    <t>C10353</t>
  </si>
  <si>
    <t>L00353</t>
  </si>
  <si>
    <t>C10354</t>
  </si>
  <si>
    <t>L00354</t>
  </si>
  <si>
    <t>C10355</t>
  </si>
  <si>
    <t>L00355</t>
  </si>
  <si>
    <t>C10356</t>
  </si>
  <si>
    <t>L00356</t>
  </si>
  <si>
    <t>C10357</t>
  </si>
  <si>
    <t>L00357</t>
  </si>
  <si>
    <t>C10358</t>
  </si>
  <si>
    <t>L00358</t>
  </si>
  <si>
    <t>C10359</t>
  </si>
  <si>
    <t>L00359</t>
  </si>
  <si>
    <t>C10360</t>
  </si>
  <si>
    <t>L00360</t>
  </si>
  <si>
    <t>C10361</t>
  </si>
  <si>
    <t>L00361</t>
  </si>
  <si>
    <t>C10362</t>
  </si>
  <si>
    <t>L00362</t>
  </si>
  <si>
    <t>C10363</t>
  </si>
  <si>
    <t>L00363</t>
  </si>
  <si>
    <t>C10364</t>
  </si>
  <si>
    <t>L00364</t>
  </si>
  <si>
    <t>C10365</t>
  </si>
  <si>
    <t>L00365</t>
  </si>
  <si>
    <t>C10366</t>
  </si>
  <si>
    <t>L00366</t>
  </si>
  <si>
    <t>C10367</t>
  </si>
  <si>
    <t>L00367</t>
  </si>
  <si>
    <t>C10368</t>
  </si>
  <si>
    <t>L00368</t>
  </si>
  <si>
    <t>C10369</t>
  </si>
  <si>
    <t>L00369</t>
  </si>
  <si>
    <t>C10370</t>
  </si>
  <si>
    <t>L00370</t>
  </si>
  <si>
    <t>C10371</t>
  </si>
  <si>
    <t>L00371</t>
  </si>
  <si>
    <t>C10372</t>
  </si>
  <si>
    <t>L00372</t>
  </si>
  <si>
    <t>C10373</t>
  </si>
  <si>
    <t>L00373</t>
  </si>
  <si>
    <t>C10374</t>
  </si>
  <si>
    <t>L00374</t>
  </si>
  <si>
    <t>C10375</t>
  </si>
  <si>
    <t>L00375</t>
  </si>
  <si>
    <t>C10376</t>
  </si>
  <si>
    <t>L00376</t>
  </si>
  <si>
    <t>C10377</t>
  </si>
  <si>
    <t>L00377</t>
  </si>
  <si>
    <t>C10378</t>
  </si>
  <si>
    <t>L00378</t>
  </si>
  <si>
    <t>C10379</t>
  </si>
  <si>
    <t>L00379</t>
  </si>
  <si>
    <t>C10380</t>
  </si>
  <si>
    <t>L00380</t>
  </si>
  <si>
    <t>C10381</t>
  </si>
  <si>
    <t>L00381</t>
  </si>
  <si>
    <t>C10382</t>
  </si>
  <si>
    <t>L00382</t>
  </si>
  <si>
    <t>C10383</t>
  </si>
  <si>
    <t>L00383</t>
  </si>
  <si>
    <t>C10384</t>
  </si>
  <si>
    <t>L00384</t>
  </si>
  <si>
    <t>C10385</t>
  </si>
  <si>
    <t>L00385</t>
  </si>
  <si>
    <t>C10386</t>
  </si>
  <si>
    <t>L00386</t>
  </si>
  <si>
    <t>C10387</t>
  </si>
  <si>
    <t>L00387</t>
  </si>
  <si>
    <t>C10388</t>
  </si>
  <si>
    <t>L00388</t>
  </si>
  <si>
    <t>C10389</t>
  </si>
  <si>
    <t>L00389</t>
  </si>
  <si>
    <t>C10390</t>
  </si>
  <si>
    <t>L00390</t>
  </si>
  <si>
    <t>C10391</t>
  </si>
  <si>
    <t>L00391</t>
  </si>
  <si>
    <t>C10392</t>
  </si>
  <si>
    <t>L00392</t>
  </si>
  <si>
    <t>C10393</t>
  </si>
  <si>
    <t>L00393</t>
  </si>
  <si>
    <t>C10394</t>
  </si>
  <si>
    <t>L00394</t>
  </si>
  <si>
    <t>C10395</t>
  </si>
  <si>
    <t>L00395</t>
  </si>
  <si>
    <t>C10396</t>
  </si>
  <si>
    <t>L00396</t>
  </si>
  <si>
    <t>C10397</t>
  </si>
  <si>
    <t>L00397</t>
  </si>
  <si>
    <t>C10398</t>
  </si>
  <si>
    <t>L00398</t>
  </si>
  <si>
    <t>C10399</t>
  </si>
  <si>
    <t>L00399</t>
  </si>
  <si>
    <t>C10400</t>
  </si>
  <si>
    <t>L00400</t>
  </si>
  <si>
    <t>C10401</t>
  </si>
  <si>
    <t>L00401</t>
  </si>
  <si>
    <t>C10402</t>
  </si>
  <si>
    <t>L00402</t>
  </si>
  <si>
    <t>C10403</t>
  </si>
  <si>
    <t>L00403</t>
  </si>
  <si>
    <t>C10404</t>
  </si>
  <si>
    <t>L00404</t>
  </si>
  <si>
    <t>C10405</t>
  </si>
  <si>
    <t>L00405</t>
  </si>
  <si>
    <t>C10406</t>
  </si>
  <si>
    <t>L00406</t>
  </si>
  <si>
    <t>C10407</t>
  </si>
  <si>
    <t>L00407</t>
  </si>
  <si>
    <t>C10408</t>
  </si>
  <si>
    <t>L00408</t>
  </si>
  <si>
    <t>C10409</t>
  </si>
  <si>
    <t>L00409</t>
  </si>
  <si>
    <t>C10410</t>
  </si>
  <si>
    <t>L00410</t>
  </si>
  <si>
    <t>C10411</t>
  </si>
  <si>
    <t>L00411</t>
  </si>
  <si>
    <t>C10412</t>
  </si>
  <si>
    <t>L00412</t>
  </si>
  <si>
    <t>C10413</t>
  </si>
  <si>
    <t>L00413</t>
  </si>
  <si>
    <t>C10414</t>
  </si>
  <si>
    <t>L00414</t>
  </si>
  <si>
    <t>C10415</t>
  </si>
  <si>
    <t>L00415</t>
  </si>
  <si>
    <t>C10416</t>
  </si>
  <si>
    <t>L00416</t>
  </si>
  <si>
    <t>C10417</t>
  </si>
  <si>
    <t>L00417</t>
  </si>
  <si>
    <t>C10418</t>
  </si>
  <si>
    <t>L00418</t>
  </si>
  <si>
    <t>C10419</t>
  </si>
  <si>
    <t>L00419</t>
  </si>
  <si>
    <t>C10420</t>
  </si>
  <si>
    <t>L00420</t>
  </si>
  <si>
    <t>C10421</t>
  </si>
  <si>
    <t>L00421</t>
  </si>
  <si>
    <t>C10422</t>
  </si>
  <si>
    <t>L00422</t>
  </si>
  <si>
    <t>C10423</t>
  </si>
  <si>
    <t>L00423</t>
  </si>
  <si>
    <t>C10424</t>
  </si>
  <si>
    <t>L00424</t>
  </si>
  <si>
    <t>C10425</t>
  </si>
  <si>
    <t>L00425</t>
  </si>
  <si>
    <t>C10426</t>
  </si>
  <si>
    <t>L00426</t>
  </si>
  <si>
    <t>C10427</t>
  </si>
  <si>
    <t>L00427</t>
  </si>
  <si>
    <t>C10428</t>
  </si>
  <si>
    <t>L00428</t>
  </si>
  <si>
    <t>C10429</t>
  </si>
  <si>
    <t>L00429</t>
  </si>
  <si>
    <t>C10430</t>
  </si>
  <si>
    <t>L00430</t>
  </si>
  <si>
    <t>C10431</t>
  </si>
  <si>
    <t>L00431</t>
  </si>
  <si>
    <t>C10432</t>
  </si>
  <si>
    <t>L00432</t>
  </si>
  <si>
    <t>C10433</t>
  </si>
  <si>
    <t>L00433</t>
  </si>
  <si>
    <t>C10434</t>
  </si>
  <si>
    <t>L00434</t>
  </si>
  <si>
    <t>C10435</t>
  </si>
  <si>
    <t>L00435</t>
  </si>
  <si>
    <t>C10436</t>
  </si>
  <si>
    <t>L00436</t>
  </si>
  <si>
    <t>C10437</t>
  </si>
  <si>
    <t>L00437</t>
  </si>
  <si>
    <t>C10438</t>
  </si>
  <si>
    <t>L00438</t>
  </si>
  <si>
    <t>C10439</t>
  </si>
  <si>
    <t>L00439</t>
  </si>
  <si>
    <t>C10440</t>
  </si>
  <si>
    <t>L00440</t>
  </si>
  <si>
    <t>C10441</t>
  </si>
  <si>
    <t>L00441</t>
  </si>
  <si>
    <t>C10442</t>
  </si>
  <si>
    <t>L00442</t>
  </si>
  <si>
    <t>C10443</t>
  </si>
  <si>
    <t>L00443</t>
  </si>
  <si>
    <t>C10444</t>
  </si>
  <si>
    <t>L00444</t>
  </si>
  <si>
    <t>C10445</t>
  </si>
  <si>
    <t>L00445</t>
  </si>
  <si>
    <t>C10446</t>
  </si>
  <si>
    <t>L00446</t>
  </si>
  <si>
    <t>C10447</t>
  </si>
  <si>
    <t>L00447</t>
  </si>
  <si>
    <t>C10448</t>
  </si>
  <si>
    <t>L00448</t>
  </si>
  <si>
    <t>C10449</t>
  </si>
  <si>
    <t>L00449</t>
  </si>
  <si>
    <t>C10450</t>
  </si>
  <si>
    <t>L00450</t>
  </si>
  <si>
    <t>C10451</t>
  </si>
  <si>
    <t>L00451</t>
  </si>
  <si>
    <t>C10452</t>
  </si>
  <si>
    <t>L00452</t>
  </si>
  <si>
    <t>C10453</t>
  </si>
  <si>
    <t>L00453</t>
  </si>
  <si>
    <t>C10454</t>
  </si>
  <si>
    <t>L00454</t>
  </si>
  <si>
    <t>C10455</t>
  </si>
  <si>
    <t>L00455</t>
  </si>
  <si>
    <t>C10456</t>
  </si>
  <si>
    <t>L00456</t>
  </si>
  <si>
    <t>C10457</t>
  </si>
  <si>
    <t>L00457</t>
  </si>
  <si>
    <t>C10458</t>
  </si>
  <si>
    <t>L00458</t>
  </si>
  <si>
    <t>C10459</t>
  </si>
  <si>
    <t>L00459</t>
  </si>
  <si>
    <t>C10460</t>
  </si>
  <si>
    <t>L00460</t>
  </si>
  <si>
    <t>C10461</t>
  </si>
  <si>
    <t>L00461</t>
  </si>
  <si>
    <t>C10462</t>
  </si>
  <si>
    <t>L00462</t>
  </si>
  <si>
    <t>C10463</t>
  </si>
  <si>
    <t>L00463</t>
  </si>
  <si>
    <t>C10464</t>
  </si>
  <si>
    <t>L00464</t>
  </si>
  <si>
    <t>C10465</t>
  </si>
  <si>
    <t>L00465</t>
  </si>
  <si>
    <t>C10466</t>
  </si>
  <si>
    <t>L00466</t>
  </si>
  <si>
    <t>C10467</t>
  </si>
  <si>
    <t>L00467</t>
  </si>
  <si>
    <t>C10468</t>
  </si>
  <si>
    <t>L00468</t>
  </si>
  <si>
    <t>C10469</t>
  </si>
  <si>
    <t>L00469</t>
  </si>
  <si>
    <t>C10470</t>
  </si>
  <si>
    <t>L00470</t>
  </si>
  <si>
    <t>C10471</t>
  </si>
  <si>
    <t>L00471</t>
  </si>
  <si>
    <t>C10472</t>
  </si>
  <si>
    <t>L00472</t>
  </si>
  <si>
    <t>C10473</t>
  </si>
  <si>
    <t>L00473</t>
  </si>
  <si>
    <t>C10474</t>
  </si>
  <si>
    <t>L00474</t>
  </si>
  <si>
    <t>C10475</t>
  </si>
  <si>
    <t>L00475</t>
  </si>
  <si>
    <t>C10476</t>
  </si>
  <si>
    <t>L00476</t>
  </si>
  <si>
    <t>C10477</t>
  </si>
  <si>
    <t>L00477</t>
  </si>
  <si>
    <t>C10478</t>
  </si>
  <si>
    <t>L00478</t>
  </si>
  <si>
    <t>C10479</t>
  </si>
  <si>
    <t>L00479</t>
  </si>
  <si>
    <t>C10480</t>
  </si>
  <si>
    <t>L00480</t>
  </si>
  <si>
    <t>C10481</t>
  </si>
  <si>
    <t>L00481</t>
  </si>
  <si>
    <t>C10482</t>
  </si>
  <si>
    <t>L00482</t>
  </si>
  <si>
    <t>C10483</t>
  </si>
  <si>
    <t>L00483</t>
  </si>
  <si>
    <t>C10484</t>
  </si>
  <si>
    <t>L00484</t>
  </si>
  <si>
    <t>C10485</t>
  </si>
  <si>
    <t>L00485</t>
  </si>
  <si>
    <t>C10486</t>
  </si>
  <si>
    <t>L00486</t>
  </si>
  <si>
    <t>C10487</t>
  </si>
  <si>
    <t>L00487</t>
  </si>
  <si>
    <t>C10488</t>
  </si>
  <si>
    <t>L00488</t>
  </si>
  <si>
    <t>C10489</t>
  </si>
  <si>
    <t>L00489</t>
  </si>
  <si>
    <t>C10490</t>
  </si>
  <si>
    <t>L00490</t>
  </si>
  <si>
    <t>C10491</t>
  </si>
  <si>
    <t>L00491</t>
  </si>
  <si>
    <t>C10492</t>
  </si>
  <si>
    <t>L00492</t>
  </si>
  <si>
    <t>C10493</t>
  </si>
  <si>
    <t>L00493</t>
  </si>
  <si>
    <t>C10494</t>
  </si>
  <si>
    <t>L00494</t>
  </si>
  <si>
    <t>C10495</t>
  </si>
  <si>
    <t>L00495</t>
  </si>
  <si>
    <t>C10496</t>
  </si>
  <si>
    <t>L00496</t>
  </si>
  <si>
    <t>C10497</t>
  </si>
  <si>
    <t>L00497</t>
  </si>
  <si>
    <t>C10498</t>
  </si>
  <si>
    <t>L00498</t>
  </si>
  <si>
    <t>C10499</t>
  </si>
  <si>
    <t>L00499</t>
  </si>
  <si>
    <t>C10500</t>
  </si>
  <si>
    <t>L00500</t>
  </si>
  <si>
    <t>C10501</t>
  </si>
  <si>
    <t>L00501</t>
  </si>
  <si>
    <t>C10502</t>
  </si>
  <si>
    <t>L00502</t>
  </si>
  <si>
    <t>C10503</t>
  </si>
  <si>
    <t>L00503</t>
  </si>
  <si>
    <t>C10504</t>
  </si>
  <si>
    <t>L00504</t>
  </si>
  <si>
    <t>C10505</t>
  </si>
  <si>
    <t>L00505</t>
  </si>
  <si>
    <t>C10506</t>
  </si>
  <si>
    <t>L00506</t>
  </si>
  <si>
    <t>C10507</t>
  </si>
  <si>
    <t>L00507</t>
  </si>
  <si>
    <t>C10508</t>
  </si>
  <si>
    <t>L00508</t>
  </si>
  <si>
    <t>C10509</t>
  </si>
  <si>
    <t>L00509</t>
  </si>
  <si>
    <t>C10510</t>
  </si>
  <si>
    <t>L00510</t>
  </si>
  <si>
    <t>C10511</t>
  </si>
  <si>
    <t>L00511</t>
  </si>
  <si>
    <t>C10512</t>
  </si>
  <si>
    <t>L00512</t>
  </si>
  <si>
    <t>C10513</t>
  </si>
  <si>
    <t>L00513</t>
  </si>
  <si>
    <t>C10514</t>
  </si>
  <si>
    <t>L00514</t>
  </si>
  <si>
    <t>C10515</t>
  </si>
  <si>
    <t>L00515</t>
  </si>
  <si>
    <t>C10516</t>
  </si>
  <si>
    <t>L00516</t>
  </si>
  <si>
    <t>C10517</t>
  </si>
  <si>
    <t>L00517</t>
  </si>
  <si>
    <t>C10518</t>
  </si>
  <si>
    <t>L00518</t>
  </si>
  <si>
    <t>C10519</t>
  </si>
  <si>
    <t>L00519</t>
  </si>
  <si>
    <t>C10520</t>
  </si>
  <si>
    <t>L00520</t>
  </si>
  <si>
    <t>C10521</t>
  </si>
  <si>
    <t>L00521</t>
  </si>
  <si>
    <t>C10522</t>
  </si>
  <si>
    <t>L00522</t>
  </si>
  <si>
    <t>C10523</t>
  </si>
  <si>
    <t>L00523</t>
  </si>
  <si>
    <t>C10524</t>
  </si>
  <si>
    <t>L00524</t>
  </si>
  <si>
    <t>C10525</t>
  </si>
  <si>
    <t>L00525</t>
  </si>
  <si>
    <t>C10526</t>
  </si>
  <si>
    <t>L00526</t>
  </si>
  <si>
    <t>C10527</t>
  </si>
  <si>
    <t>L00527</t>
  </si>
  <si>
    <t>C10528</t>
  </si>
  <si>
    <t>L00528</t>
  </si>
  <si>
    <t>C10529</t>
  </si>
  <si>
    <t>L00529</t>
  </si>
  <si>
    <t>C10530</t>
  </si>
  <si>
    <t>L00530</t>
  </si>
  <si>
    <t>C10531</t>
  </si>
  <si>
    <t>L00531</t>
  </si>
  <si>
    <t>C10532</t>
  </si>
  <si>
    <t>L00532</t>
  </si>
  <si>
    <t>C10533</t>
  </si>
  <si>
    <t>L00533</t>
  </si>
  <si>
    <t>C10534</t>
  </si>
  <si>
    <t>L00534</t>
  </si>
  <si>
    <t>C10535</t>
  </si>
  <si>
    <t>L00535</t>
  </si>
  <si>
    <t>C10536</t>
  </si>
  <si>
    <t>L00536</t>
  </si>
  <si>
    <t>C10537</t>
  </si>
  <si>
    <t>L00537</t>
  </si>
  <si>
    <t>C10538</t>
  </si>
  <si>
    <t>L00538</t>
  </si>
  <si>
    <t>C10539</t>
  </si>
  <si>
    <t>L00539</t>
  </si>
  <si>
    <t>C10540</t>
  </si>
  <si>
    <t>L00540</t>
  </si>
  <si>
    <t>C10541</t>
  </si>
  <si>
    <t>L00541</t>
  </si>
  <si>
    <t>C10542</t>
  </si>
  <si>
    <t>L00542</t>
  </si>
  <si>
    <t>C10543</t>
  </si>
  <si>
    <t>L00543</t>
  </si>
  <si>
    <t>C10544</t>
  </si>
  <si>
    <t>L00544</t>
  </si>
  <si>
    <t>C10545</t>
  </si>
  <si>
    <t>L00545</t>
  </si>
  <si>
    <t>C10546</t>
  </si>
  <si>
    <t>L00546</t>
  </si>
  <si>
    <t>C10547</t>
  </si>
  <si>
    <t>L00547</t>
  </si>
  <si>
    <t>C10548</t>
  </si>
  <si>
    <t>L00548</t>
  </si>
  <si>
    <t>C10549</t>
  </si>
  <si>
    <t>L00549</t>
  </si>
  <si>
    <t>C10550</t>
  </si>
  <si>
    <t>L00550</t>
  </si>
  <si>
    <t>C10551</t>
  </si>
  <si>
    <t>L00551</t>
  </si>
  <si>
    <t>C10552</t>
  </si>
  <si>
    <t>L00552</t>
  </si>
  <si>
    <t>C10553</t>
  </si>
  <si>
    <t>L00553</t>
  </si>
  <si>
    <t>C10554</t>
  </si>
  <si>
    <t>L00554</t>
  </si>
  <si>
    <t>C10555</t>
  </si>
  <si>
    <t>L00555</t>
  </si>
  <si>
    <t>C10556</t>
  </si>
  <si>
    <t>L00556</t>
  </si>
  <si>
    <t>C10557</t>
  </si>
  <si>
    <t>L00557</t>
  </si>
  <si>
    <t>C10558</t>
  </si>
  <si>
    <t>L00558</t>
  </si>
  <si>
    <t>C10559</t>
  </si>
  <si>
    <t>L00559</t>
  </si>
  <si>
    <t>C10560</t>
  </si>
  <si>
    <t>L00560</t>
  </si>
  <si>
    <t>C10561</t>
  </si>
  <si>
    <t>L00561</t>
  </si>
  <si>
    <t>C10562</t>
  </si>
  <si>
    <t>L00562</t>
  </si>
  <si>
    <t>C10563</t>
  </si>
  <si>
    <t>L00563</t>
  </si>
  <si>
    <t>C10564</t>
  </si>
  <si>
    <t>L00564</t>
  </si>
  <si>
    <t>C10565</t>
  </si>
  <si>
    <t>L00565</t>
  </si>
  <si>
    <t>C10566</t>
  </si>
  <si>
    <t>L00566</t>
  </si>
  <si>
    <t>C10567</t>
  </si>
  <si>
    <t>L00567</t>
  </si>
  <si>
    <t>C10568</t>
  </si>
  <si>
    <t>L00568</t>
  </si>
  <si>
    <t>C10569</t>
  </si>
  <si>
    <t>L00569</t>
  </si>
  <si>
    <t>C10570</t>
  </si>
  <si>
    <t>L00570</t>
  </si>
  <si>
    <t>C10571</t>
  </si>
  <si>
    <t>L00571</t>
  </si>
  <si>
    <t>C10572</t>
  </si>
  <si>
    <t>L00572</t>
  </si>
  <si>
    <t>C10573</t>
  </si>
  <si>
    <t>L00573</t>
  </si>
  <si>
    <t>C10574</t>
  </si>
  <si>
    <t>L00574</t>
  </si>
  <si>
    <t>C10575</t>
  </si>
  <si>
    <t>L00575</t>
  </si>
  <si>
    <t>C10576</t>
  </si>
  <si>
    <t>L00576</t>
  </si>
  <si>
    <t>C10577</t>
  </si>
  <si>
    <t>L00577</t>
  </si>
  <si>
    <t>C10578</t>
  </si>
  <si>
    <t>L00578</t>
  </si>
  <si>
    <t>C10579</t>
  </si>
  <si>
    <t>L00579</t>
  </si>
  <si>
    <t>C10580</t>
  </si>
  <si>
    <t>L00580</t>
  </si>
  <si>
    <t>C10581</t>
  </si>
  <si>
    <t>L00581</t>
  </si>
  <si>
    <t>C10582</t>
  </si>
  <si>
    <t>L00582</t>
  </si>
  <si>
    <t>C10583</t>
  </si>
  <si>
    <t>L00583</t>
  </si>
  <si>
    <t>C10584</t>
  </si>
  <si>
    <t>L00584</t>
  </si>
  <si>
    <t>C10585</t>
  </si>
  <si>
    <t>L00585</t>
  </si>
  <si>
    <t>C10586</t>
  </si>
  <si>
    <t>L00586</t>
  </si>
  <si>
    <t>C10587</t>
  </si>
  <si>
    <t>L00587</t>
  </si>
  <si>
    <t>C10588</t>
  </si>
  <si>
    <t>L00588</t>
  </si>
  <si>
    <t>C10589</t>
  </si>
  <si>
    <t>L00589</t>
  </si>
  <si>
    <t>C10590</t>
  </si>
  <si>
    <t>L00590</t>
  </si>
  <si>
    <t>C10591</t>
  </si>
  <si>
    <t>L00591</t>
  </si>
  <si>
    <t>C10592</t>
  </si>
  <si>
    <t>L00592</t>
  </si>
  <si>
    <t>C10593</t>
  </si>
  <si>
    <t>L00593</t>
  </si>
  <si>
    <t>C10594</t>
  </si>
  <si>
    <t>L00594</t>
  </si>
  <si>
    <t>C10595</t>
  </si>
  <si>
    <t>L00595</t>
  </si>
  <si>
    <t>C10596</t>
  </si>
  <si>
    <t>L00596</t>
  </si>
  <si>
    <t>C10597</t>
  </si>
  <si>
    <t>L00597</t>
  </si>
  <si>
    <t>C10598</t>
  </si>
  <si>
    <t>L00598</t>
  </si>
  <si>
    <t>C10599</t>
  </si>
  <si>
    <t>L00599</t>
  </si>
  <si>
    <t>C10600</t>
  </si>
  <si>
    <t>L00600</t>
  </si>
  <si>
    <t>C10601</t>
  </si>
  <si>
    <t>L00601</t>
  </si>
  <si>
    <t>C10602</t>
  </si>
  <si>
    <t>L00602</t>
  </si>
  <si>
    <t>C10603</t>
  </si>
  <si>
    <t>L00603</t>
  </si>
  <si>
    <t>C10604</t>
  </si>
  <si>
    <t>L00604</t>
  </si>
  <si>
    <t>C10605</t>
  </si>
  <si>
    <t>L00605</t>
  </si>
  <si>
    <t>C10606</t>
  </si>
  <si>
    <t>L00606</t>
  </si>
  <si>
    <t>C10607</t>
  </si>
  <si>
    <t>L00607</t>
  </si>
  <si>
    <t>C10608</t>
  </si>
  <si>
    <t>L00608</t>
  </si>
  <si>
    <t>C10609</t>
  </si>
  <si>
    <t>L00609</t>
  </si>
  <si>
    <t>C10610</t>
  </si>
  <si>
    <t>L00610</t>
  </si>
  <si>
    <t>C10611</t>
  </si>
  <si>
    <t>L00611</t>
  </si>
  <si>
    <t>C10612</t>
  </si>
  <si>
    <t>L00612</t>
  </si>
  <si>
    <t>C10613</t>
  </si>
  <si>
    <t>L00613</t>
  </si>
  <si>
    <t>C10614</t>
  </si>
  <si>
    <t>L00614</t>
  </si>
  <si>
    <t>C10615</t>
  </si>
  <si>
    <t>L00615</t>
  </si>
  <si>
    <t>C10616</t>
  </si>
  <si>
    <t>L00616</t>
  </si>
  <si>
    <t>C10617</t>
  </si>
  <si>
    <t>L00617</t>
  </si>
  <si>
    <t>C10618</t>
  </si>
  <si>
    <t>L00618</t>
  </si>
  <si>
    <t>C10619</t>
  </si>
  <si>
    <t>L00619</t>
  </si>
  <si>
    <t>C10620</t>
  </si>
  <si>
    <t>L00620</t>
  </si>
  <si>
    <t>C10621</t>
  </si>
  <si>
    <t>L00621</t>
  </si>
  <si>
    <t>C10622</t>
  </si>
  <si>
    <t>L00622</t>
  </si>
  <si>
    <t>C10623</t>
  </si>
  <si>
    <t>L00623</t>
  </si>
  <si>
    <t>C10624</t>
  </si>
  <si>
    <t>L00624</t>
  </si>
  <si>
    <t>C10625</t>
  </si>
  <si>
    <t>L00625</t>
  </si>
  <si>
    <t>C10626</t>
  </si>
  <si>
    <t>L00626</t>
  </si>
  <si>
    <t>C10627</t>
  </si>
  <si>
    <t>L00627</t>
  </si>
  <si>
    <t>C10628</t>
  </si>
  <si>
    <t>L00628</t>
  </si>
  <si>
    <t>C10629</t>
  </si>
  <si>
    <t>L00629</t>
  </si>
  <si>
    <t>C10630</t>
  </si>
  <si>
    <t>L00630</t>
  </si>
  <si>
    <t>C10631</t>
  </si>
  <si>
    <t>L00631</t>
  </si>
  <si>
    <t>C10632</t>
  </si>
  <si>
    <t>L00632</t>
  </si>
  <si>
    <t>C10633</t>
  </si>
  <si>
    <t>L00633</t>
  </si>
  <si>
    <t>C10634</t>
  </si>
  <si>
    <t>L00634</t>
  </si>
  <si>
    <t>C10635</t>
  </si>
  <si>
    <t>L00635</t>
  </si>
  <si>
    <t>C10636</t>
  </si>
  <si>
    <t>L00636</t>
  </si>
  <si>
    <t>C10637</t>
  </si>
  <si>
    <t>L00637</t>
  </si>
  <si>
    <t>C10638</t>
  </si>
  <si>
    <t>L00638</t>
  </si>
  <si>
    <t>C10639</t>
  </si>
  <si>
    <t>L00639</t>
  </si>
  <si>
    <t>C10640</t>
  </si>
  <si>
    <t>L00640</t>
  </si>
  <si>
    <t>C10641</t>
  </si>
  <si>
    <t>L00641</t>
  </si>
  <si>
    <t>C10642</t>
  </si>
  <si>
    <t>L00642</t>
  </si>
  <si>
    <t>C10643</t>
  </si>
  <si>
    <t>L00643</t>
  </si>
  <si>
    <t>C10644</t>
  </si>
  <si>
    <t>L00644</t>
  </si>
  <si>
    <t>C10645</t>
  </si>
  <si>
    <t>L00645</t>
  </si>
  <si>
    <t>C10646</t>
  </si>
  <si>
    <t>L00646</t>
  </si>
  <si>
    <t>C10647</t>
  </si>
  <si>
    <t>L00647</t>
  </si>
  <si>
    <t>C10648</t>
  </si>
  <si>
    <t>L00648</t>
  </si>
  <si>
    <t>C10649</t>
  </si>
  <si>
    <t>L00649</t>
  </si>
  <si>
    <t>C10650</t>
  </si>
  <si>
    <t>L00650</t>
  </si>
  <si>
    <t>C10651</t>
  </si>
  <si>
    <t>L00651</t>
  </si>
  <si>
    <t>C10652</t>
  </si>
  <si>
    <t>L00652</t>
  </si>
  <si>
    <t>C10653</t>
  </si>
  <si>
    <t>L00653</t>
  </si>
  <si>
    <t>C10654</t>
  </si>
  <si>
    <t>L00654</t>
  </si>
  <si>
    <t>C10655</t>
  </si>
  <si>
    <t>L00655</t>
  </si>
  <si>
    <t>C10656</t>
  </si>
  <si>
    <t>L00656</t>
  </si>
  <si>
    <t>C10657</t>
  </si>
  <si>
    <t>L00657</t>
  </si>
  <si>
    <t>C10658</t>
  </si>
  <si>
    <t>L00658</t>
  </si>
  <si>
    <t>C10659</t>
  </si>
  <si>
    <t>L00659</t>
  </si>
  <si>
    <t>C10660</t>
  </si>
  <si>
    <t>L00660</t>
  </si>
  <si>
    <t>C10661</t>
  </si>
  <si>
    <t>L00661</t>
  </si>
  <si>
    <t>C10662</t>
  </si>
  <si>
    <t>L00662</t>
  </si>
  <si>
    <t>C10663</t>
  </si>
  <si>
    <t>L00663</t>
  </si>
  <si>
    <t>C10664</t>
  </si>
  <si>
    <t>L00664</t>
  </si>
  <si>
    <t>C10665</t>
  </si>
  <si>
    <t>L00665</t>
  </si>
  <si>
    <t>C10666</t>
  </si>
  <si>
    <t>L00666</t>
  </si>
  <si>
    <t>C10667</t>
  </si>
  <si>
    <t>L00667</t>
  </si>
  <si>
    <t>C10668</t>
  </si>
  <si>
    <t>L00668</t>
  </si>
  <si>
    <t>C10669</t>
  </si>
  <si>
    <t>L00669</t>
  </si>
  <si>
    <t>C10670</t>
  </si>
  <si>
    <t>L00670</t>
  </si>
  <si>
    <t>C10671</t>
  </si>
  <si>
    <t>L00671</t>
  </si>
  <si>
    <t>C10672</t>
  </si>
  <si>
    <t>L00672</t>
  </si>
  <si>
    <t>C10673</t>
  </si>
  <si>
    <t>L00673</t>
  </si>
  <si>
    <t>C10674</t>
  </si>
  <si>
    <t>L00674</t>
  </si>
  <si>
    <t>C10675</t>
  </si>
  <si>
    <t>L00675</t>
  </si>
  <si>
    <t>C10676</t>
  </si>
  <si>
    <t>L00676</t>
  </si>
  <si>
    <t>C10677</t>
  </si>
  <si>
    <t>L00677</t>
  </si>
  <si>
    <t>C10678</t>
  </si>
  <si>
    <t>L00678</t>
  </si>
  <si>
    <t>C10679</t>
  </si>
  <si>
    <t>L00679</t>
  </si>
  <si>
    <t>C10680</t>
  </si>
  <si>
    <t>L00680</t>
  </si>
  <si>
    <t>C10681</t>
  </si>
  <si>
    <t>L00681</t>
  </si>
  <si>
    <t>C10682</t>
  </si>
  <si>
    <t>L00682</t>
  </si>
  <si>
    <t>C10683</t>
  </si>
  <si>
    <t>L00683</t>
  </si>
  <si>
    <t>C10684</t>
  </si>
  <si>
    <t>L00684</t>
  </si>
  <si>
    <t>C10685</t>
  </si>
  <si>
    <t>L00685</t>
  </si>
  <si>
    <t>C10686</t>
  </si>
  <si>
    <t>L00686</t>
  </si>
  <si>
    <t>C10687</t>
  </si>
  <si>
    <t>L00687</t>
  </si>
  <si>
    <t>C10688</t>
  </si>
  <si>
    <t>L00688</t>
  </si>
  <si>
    <t>C10689</t>
  </si>
  <si>
    <t>L00689</t>
  </si>
  <si>
    <t>C10690</t>
  </si>
  <si>
    <t>L00690</t>
  </si>
  <si>
    <t>C10691</t>
  </si>
  <si>
    <t>L00691</t>
  </si>
  <si>
    <t>C10692</t>
  </si>
  <si>
    <t>L00692</t>
  </si>
  <si>
    <t>C10693</t>
  </si>
  <si>
    <t>L00693</t>
  </si>
  <si>
    <t>C10694</t>
  </si>
  <si>
    <t>L00694</t>
  </si>
  <si>
    <t>C10695</t>
  </si>
  <si>
    <t>L00695</t>
  </si>
  <si>
    <t>C10696</t>
  </si>
  <si>
    <t>L00696</t>
  </si>
  <si>
    <t>C10697</t>
  </si>
  <si>
    <t>L00697</t>
  </si>
  <si>
    <t>C10698</t>
  </si>
  <si>
    <t>L00698</t>
  </si>
  <si>
    <t>C10699</t>
  </si>
  <si>
    <t>L00699</t>
  </si>
  <si>
    <t>C10700</t>
  </si>
  <si>
    <t>L00700</t>
  </si>
  <si>
    <t>C10701</t>
  </si>
  <si>
    <t>L00701</t>
  </si>
  <si>
    <t>C10702</t>
  </si>
  <si>
    <t>L00702</t>
  </si>
  <si>
    <t>C10703</t>
  </si>
  <si>
    <t>L00703</t>
  </si>
  <si>
    <t>C10704</t>
  </si>
  <si>
    <t>L00704</t>
  </si>
  <si>
    <t>C10705</t>
  </si>
  <si>
    <t>L00705</t>
  </si>
  <si>
    <t>C10706</t>
  </si>
  <si>
    <t>L00706</t>
  </si>
  <si>
    <t>C10707</t>
  </si>
  <si>
    <t>L00707</t>
  </si>
  <si>
    <t>C10708</t>
  </si>
  <si>
    <t>L00708</t>
  </si>
  <si>
    <t>C10709</t>
  </si>
  <si>
    <t>L00709</t>
  </si>
  <si>
    <t>C10710</t>
  </si>
  <si>
    <t>L00710</t>
  </si>
  <si>
    <t>C10711</t>
  </si>
  <si>
    <t>L00711</t>
  </si>
  <si>
    <t>C10712</t>
  </si>
  <si>
    <t>L00712</t>
  </si>
  <si>
    <t>C10713</t>
  </si>
  <si>
    <t>L00713</t>
  </si>
  <si>
    <t>C10714</t>
  </si>
  <si>
    <t>L00714</t>
  </si>
  <si>
    <t>C10715</t>
  </si>
  <si>
    <t>L00715</t>
  </si>
  <si>
    <t>C10716</t>
  </si>
  <si>
    <t>L00716</t>
  </si>
  <si>
    <t>C10717</t>
  </si>
  <si>
    <t>L00717</t>
  </si>
  <si>
    <t>C10718</t>
  </si>
  <si>
    <t>L00718</t>
  </si>
  <si>
    <t>C10719</t>
  </si>
  <si>
    <t>L00719</t>
  </si>
  <si>
    <t>C10720</t>
  </si>
  <si>
    <t>L00720</t>
  </si>
  <si>
    <t>C10721</t>
  </si>
  <si>
    <t>L00721</t>
  </si>
  <si>
    <t>C10722</t>
  </si>
  <si>
    <t>L00722</t>
  </si>
  <si>
    <t>C10723</t>
  </si>
  <si>
    <t>L00723</t>
  </si>
  <si>
    <t>C10724</t>
  </si>
  <si>
    <t>L00724</t>
  </si>
  <si>
    <t>C10725</t>
  </si>
  <si>
    <t>L00725</t>
  </si>
  <si>
    <t>C10726</t>
  </si>
  <si>
    <t>L00726</t>
  </si>
  <si>
    <t>C10727</t>
  </si>
  <si>
    <t>L00727</t>
  </si>
  <si>
    <t>C10728</t>
  </si>
  <si>
    <t>L00728</t>
  </si>
  <si>
    <t>C10729</t>
  </si>
  <si>
    <t>L00729</t>
  </si>
  <si>
    <t>C10730</t>
  </si>
  <si>
    <t>L00730</t>
  </si>
  <si>
    <t>C10731</t>
  </si>
  <si>
    <t>L00731</t>
  </si>
  <si>
    <t>C10732</t>
  </si>
  <si>
    <t>L00732</t>
  </si>
  <si>
    <t>C10733</t>
  </si>
  <si>
    <t>L00733</t>
  </si>
  <si>
    <t>C10734</t>
  </si>
  <si>
    <t>L00734</t>
  </si>
  <si>
    <t>C10735</t>
  </si>
  <si>
    <t>L00735</t>
  </si>
  <si>
    <t>C10736</t>
  </si>
  <si>
    <t>L00736</t>
  </si>
  <si>
    <t>C10737</t>
  </si>
  <si>
    <t>L00737</t>
  </si>
  <si>
    <t>C10738</t>
  </si>
  <si>
    <t>L00738</t>
  </si>
  <si>
    <t>C10739</t>
  </si>
  <si>
    <t>L00739</t>
  </si>
  <si>
    <t>C10740</t>
  </si>
  <si>
    <t>L00740</t>
  </si>
  <si>
    <t>C10741</t>
  </si>
  <si>
    <t>L00741</t>
  </si>
  <si>
    <t>C10742</t>
  </si>
  <si>
    <t>L00742</t>
  </si>
  <si>
    <t>C10743</t>
  </si>
  <si>
    <t>L00743</t>
  </si>
  <si>
    <t>C10744</t>
  </si>
  <si>
    <t>L00744</t>
  </si>
  <si>
    <t>C10745</t>
  </si>
  <si>
    <t>L00745</t>
  </si>
  <si>
    <t>C10746</t>
  </si>
  <si>
    <t>L00746</t>
  </si>
  <si>
    <t>C10747</t>
  </si>
  <si>
    <t>L00747</t>
  </si>
  <si>
    <t>C10748</t>
  </si>
  <si>
    <t>L00748</t>
  </si>
  <si>
    <t>C10749</t>
  </si>
  <si>
    <t>L00749</t>
  </si>
  <si>
    <t>C10750</t>
  </si>
  <si>
    <t>L00750</t>
  </si>
  <si>
    <t>C10751</t>
  </si>
  <si>
    <t>L00751</t>
  </si>
  <si>
    <t>C10752</t>
  </si>
  <si>
    <t>L00752</t>
  </si>
  <si>
    <t>C10753</t>
  </si>
  <si>
    <t>L00753</t>
  </si>
  <si>
    <t>C10754</t>
  </si>
  <si>
    <t>L00754</t>
  </si>
  <si>
    <t>C10755</t>
  </si>
  <si>
    <t>L00755</t>
  </si>
  <si>
    <t>C10756</t>
  </si>
  <si>
    <t>L00756</t>
  </si>
  <si>
    <t>C10757</t>
  </si>
  <si>
    <t>L00757</t>
  </si>
  <si>
    <t>C10758</t>
  </si>
  <si>
    <t>L00758</t>
  </si>
  <si>
    <t>C10759</t>
  </si>
  <si>
    <t>L00759</t>
  </si>
  <si>
    <t>C10760</t>
  </si>
  <si>
    <t>L00760</t>
  </si>
  <si>
    <t>C10761</t>
  </si>
  <si>
    <t>L00761</t>
  </si>
  <si>
    <t>C10762</t>
  </si>
  <si>
    <t>L00762</t>
  </si>
  <si>
    <t>C10763</t>
  </si>
  <si>
    <t>L00763</t>
  </si>
  <si>
    <t>C10764</t>
  </si>
  <si>
    <t>L00764</t>
  </si>
  <si>
    <t>C10765</t>
  </si>
  <si>
    <t>L00765</t>
  </si>
  <si>
    <t>C10766</t>
  </si>
  <si>
    <t>L00766</t>
  </si>
  <si>
    <t>C10767</t>
  </si>
  <si>
    <t>L00767</t>
  </si>
  <si>
    <t>C10768</t>
  </si>
  <si>
    <t>L00768</t>
  </si>
  <si>
    <t>C10769</t>
  </si>
  <si>
    <t>L00769</t>
  </si>
  <si>
    <t>C10770</t>
  </si>
  <si>
    <t>L00770</t>
  </si>
  <si>
    <t>C10771</t>
  </si>
  <si>
    <t>L00771</t>
  </si>
  <si>
    <t>C10772</t>
  </si>
  <si>
    <t>L00772</t>
  </si>
  <si>
    <t>C10773</t>
  </si>
  <si>
    <t>L00773</t>
  </si>
  <si>
    <t>C10774</t>
  </si>
  <si>
    <t>L00774</t>
  </si>
  <si>
    <t>C10775</t>
  </si>
  <si>
    <t>L00775</t>
  </si>
  <si>
    <t>C10776</t>
  </si>
  <si>
    <t>L00776</t>
  </si>
  <si>
    <t>C10777</t>
  </si>
  <si>
    <t>L00777</t>
  </si>
  <si>
    <t>C10778</t>
  </si>
  <si>
    <t>L00778</t>
  </si>
  <si>
    <t>C10779</t>
  </si>
  <si>
    <t>L00779</t>
  </si>
  <si>
    <t>C10780</t>
  </si>
  <si>
    <t>L00780</t>
  </si>
  <si>
    <t>C10781</t>
  </si>
  <si>
    <t>L00781</t>
  </si>
  <si>
    <t>C10782</t>
  </si>
  <si>
    <t>L00782</t>
  </si>
  <si>
    <t>C10783</t>
  </si>
  <si>
    <t>L00783</t>
  </si>
  <si>
    <t>C10784</t>
  </si>
  <si>
    <t>L00784</t>
  </si>
  <si>
    <t>C10785</t>
  </si>
  <si>
    <t>L00785</t>
  </si>
  <si>
    <t>C10786</t>
  </si>
  <si>
    <t>L00786</t>
  </si>
  <si>
    <t>C10787</t>
  </si>
  <si>
    <t>L00787</t>
  </si>
  <si>
    <t>C10788</t>
  </si>
  <si>
    <t>L00788</t>
  </si>
  <si>
    <t>C10789</t>
  </si>
  <si>
    <t>L00789</t>
  </si>
  <si>
    <t>C10790</t>
  </si>
  <si>
    <t>L00790</t>
  </si>
  <si>
    <t>C10791</t>
  </si>
  <si>
    <t>L00791</t>
  </si>
  <si>
    <t>C10792</t>
  </si>
  <si>
    <t>L00792</t>
  </si>
  <si>
    <t>C10793</t>
  </si>
  <si>
    <t>L00793</t>
  </si>
  <si>
    <t>C10794</t>
  </si>
  <si>
    <t>L00794</t>
  </si>
  <si>
    <t>C10795</t>
  </si>
  <si>
    <t>L00795</t>
  </si>
  <si>
    <t>C10796</t>
  </si>
  <si>
    <t>L00796</t>
  </si>
  <si>
    <t>C10797</t>
  </si>
  <si>
    <t>L00797</t>
  </si>
  <si>
    <t>C10798</t>
  </si>
  <si>
    <t>L00798</t>
  </si>
  <si>
    <t>C10799</t>
  </si>
  <si>
    <t>L00799</t>
  </si>
  <si>
    <t>C10800</t>
  </si>
  <si>
    <t>L00800</t>
  </si>
  <si>
    <t>C10801</t>
  </si>
  <si>
    <t>L00801</t>
  </si>
  <si>
    <t>C10802</t>
  </si>
  <si>
    <t>L00802</t>
  </si>
  <si>
    <t>C10803</t>
  </si>
  <si>
    <t>L00803</t>
  </si>
  <si>
    <t>C10804</t>
  </si>
  <si>
    <t>L00804</t>
  </si>
  <si>
    <t>C10805</t>
  </si>
  <si>
    <t>L00805</t>
  </si>
  <si>
    <t>C10806</t>
  </si>
  <si>
    <t>L00806</t>
  </si>
  <si>
    <t>C10807</t>
  </si>
  <si>
    <t>L00807</t>
  </si>
  <si>
    <t>C10808</t>
  </si>
  <si>
    <t>L00808</t>
  </si>
  <si>
    <t>C10809</t>
  </si>
  <si>
    <t>L00809</t>
  </si>
  <si>
    <t>C10810</t>
  </si>
  <si>
    <t>L00810</t>
  </si>
  <si>
    <t>C10811</t>
  </si>
  <si>
    <t>L00811</t>
  </si>
  <si>
    <t>C10812</t>
  </si>
  <si>
    <t>L00812</t>
  </si>
  <si>
    <t>C10813</t>
  </si>
  <si>
    <t>L00813</t>
  </si>
  <si>
    <t>C10814</t>
  </si>
  <si>
    <t>L00814</t>
  </si>
  <si>
    <t>C10815</t>
  </si>
  <si>
    <t>L00815</t>
  </si>
  <si>
    <t>C10816</t>
  </si>
  <si>
    <t>L00816</t>
  </si>
  <si>
    <t>C10817</t>
  </si>
  <si>
    <t>L00817</t>
  </si>
  <si>
    <t>C10818</t>
  </si>
  <si>
    <t>L00818</t>
  </si>
  <si>
    <t>C10819</t>
  </si>
  <si>
    <t>L00819</t>
  </si>
  <si>
    <t>C10820</t>
  </si>
  <si>
    <t>L00820</t>
  </si>
  <si>
    <t>C10821</t>
  </si>
  <si>
    <t>L00821</t>
  </si>
  <si>
    <t>C10822</t>
  </si>
  <si>
    <t>L00822</t>
  </si>
  <si>
    <t>C10823</t>
  </si>
  <si>
    <t>L00823</t>
  </si>
  <si>
    <t>C10824</t>
  </si>
  <si>
    <t>L00824</t>
  </si>
  <si>
    <t>C10825</t>
  </si>
  <si>
    <t>L00825</t>
  </si>
  <si>
    <t>C10826</t>
  </si>
  <si>
    <t>L00826</t>
  </si>
  <si>
    <t>C10827</t>
  </si>
  <si>
    <t>L00827</t>
  </si>
  <si>
    <t>C10828</t>
  </si>
  <si>
    <t>L00828</t>
  </si>
  <si>
    <t>C10829</t>
  </si>
  <si>
    <t>L00829</t>
  </si>
  <si>
    <t>C10830</t>
  </si>
  <si>
    <t>L00830</t>
  </si>
  <si>
    <t>C10831</t>
  </si>
  <si>
    <t>L00831</t>
  </si>
  <si>
    <t>C10832</t>
  </si>
  <si>
    <t>L00832</t>
  </si>
  <si>
    <t>C10833</t>
  </si>
  <si>
    <t>L00833</t>
  </si>
  <si>
    <t>C10834</t>
  </si>
  <si>
    <t>L00834</t>
  </si>
  <si>
    <t>C10835</t>
  </si>
  <si>
    <t>L00835</t>
  </si>
  <si>
    <t>C10836</t>
  </si>
  <si>
    <t>L00836</t>
  </si>
  <si>
    <t>C10837</t>
  </si>
  <si>
    <t>L00837</t>
  </si>
  <si>
    <t>C10838</t>
  </si>
  <si>
    <t>L00838</t>
  </si>
  <si>
    <t>C10839</t>
  </si>
  <si>
    <t>L00839</t>
  </si>
  <si>
    <t>C10840</t>
  </si>
  <si>
    <t>L00840</t>
  </si>
  <si>
    <t>C10841</t>
  </si>
  <si>
    <t>L00841</t>
  </si>
  <si>
    <t>C10842</t>
  </si>
  <si>
    <t>L00842</t>
  </si>
  <si>
    <t>C10843</t>
  </si>
  <si>
    <t>L00843</t>
  </si>
  <si>
    <t>C10844</t>
  </si>
  <si>
    <t>L00844</t>
  </si>
  <si>
    <t>C10845</t>
  </si>
  <si>
    <t>L00845</t>
  </si>
  <si>
    <t>C10846</t>
  </si>
  <si>
    <t>L00846</t>
  </si>
  <si>
    <t>C10847</t>
  </si>
  <si>
    <t>L00847</t>
  </si>
  <si>
    <t>C10848</t>
  </si>
  <si>
    <t>L00848</t>
  </si>
  <si>
    <t>C10849</t>
  </si>
  <si>
    <t>L00849</t>
  </si>
  <si>
    <t>C10850</t>
  </si>
  <si>
    <t>L00850</t>
  </si>
  <si>
    <t>C10851</t>
  </si>
  <si>
    <t>L00851</t>
  </si>
  <si>
    <t>C10852</t>
  </si>
  <si>
    <t>L00852</t>
  </si>
  <si>
    <t>C10853</t>
  </si>
  <si>
    <t>L00853</t>
  </si>
  <si>
    <t>C10854</t>
  </si>
  <si>
    <t>L00854</t>
  </si>
  <si>
    <t>C10855</t>
  </si>
  <si>
    <t>L00855</t>
  </si>
  <si>
    <t>C10856</t>
  </si>
  <si>
    <t>L00856</t>
  </si>
  <si>
    <t>C10857</t>
  </si>
  <si>
    <t>L00857</t>
  </si>
  <si>
    <t>C10858</t>
  </si>
  <si>
    <t>L00858</t>
  </si>
  <si>
    <t>C10859</t>
  </si>
  <si>
    <t>L00859</t>
  </si>
  <si>
    <t>C10860</t>
  </si>
  <si>
    <t>L00860</t>
  </si>
  <si>
    <t>C10861</t>
  </si>
  <si>
    <t>L00861</t>
  </si>
  <si>
    <t>C10862</t>
  </si>
  <si>
    <t>L00862</t>
  </si>
  <si>
    <t>C10863</t>
  </si>
  <si>
    <t>L00863</t>
  </si>
  <si>
    <t>C10864</t>
  </si>
  <si>
    <t>L00864</t>
  </si>
  <si>
    <t>C10865</t>
  </si>
  <si>
    <t>L00865</t>
  </si>
  <si>
    <t>C10866</t>
  </si>
  <si>
    <t>L00866</t>
  </si>
  <si>
    <t>C10867</t>
  </si>
  <si>
    <t>L00867</t>
  </si>
  <si>
    <t>C10868</t>
  </si>
  <si>
    <t>L00868</t>
  </si>
  <si>
    <t>C10869</t>
  </si>
  <si>
    <t>L00869</t>
  </si>
  <si>
    <t>C10870</t>
  </si>
  <si>
    <t>L00870</t>
  </si>
  <si>
    <t>C10871</t>
  </si>
  <si>
    <t>L00871</t>
  </si>
  <si>
    <t>C10872</t>
  </si>
  <si>
    <t>L00872</t>
  </si>
  <si>
    <t>C10873</t>
  </si>
  <si>
    <t>L00873</t>
  </si>
  <si>
    <t>C10874</t>
  </si>
  <si>
    <t>L00874</t>
  </si>
  <si>
    <t>C10875</t>
  </si>
  <si>
    <t>L00875</t>
  </si>
  <si>
    <t>C10876</t>
  </si>
  <si>
    <t>L00876</t>
  </si>
  <si>
    <t>C10877</t>
  </si>
  <si>
    <t>L00877</t>
  </si>
  <si>
    <t>C10878</t>
  </si>
  <si>
    <t>L00878</t>
  </si>
  <si>
    <t>C10879</t>
  </si>
  <si>
    <t>L00879</t>
  </si>
  <si>
    <t>C10880</t>
  </si>
  <si>
    <t>L00880</t>
  </si>
  <si>
    <t>C10881</t>
  </si>
  <si>
    <t>L00881</t>
  </si>
  <si>
    <t>C10882</t>
  </si>
  <si>
    <t>L00882</t>
  </si>
  <si>
    <t>C10883</t>
  </si>
  <si>
    <t>L00883</t>
  </si>
  <si>
    <t>C10884</t>
  </si>
  <si>
    <t>L00884</t>
  </si>
  <si>
    <t>C10885</t>
  </si>
  <si>
    <t>L00885</t>
  </si>
  <si>
    <t>C10886</t>
  </si>
  <si>
    <t>L00886</t>
  </si>
  <si>
    <t>C10887</t>
  </si>
  <si>
    <t>L00887</t>
  </si>
  <si>
    <t>C10888</t>
  </si>
  <si>
    <t>L00888</t>
  </si>
  <si>
    <t>C10889</t>
  </si>
  <si>
    <t>L00889</t>
  </si>
  <si>
    <t>C10890</t>
  </si>
  <si>
    <t>L00890</t>
  </si>
  <si>
    <t>C10891</t>
  </si>
  <si>
    <t>L00891</t>
  </si>
  <si>
    <t>C10892</t>
  </si>
  <si>
    <t>L00892</t>
  </si>
  <si>
    <t>C10893</t>
  </si>
  <si>
    <t>L00893</t>
  </si>
  <si>
    <t>C10894</t>
  </si>
  <si>
    <t>L00894</t>
  </si>
  <si>
    <t>C10895</t>
  </si>
  <si>
    <t>L00895</t>
  </si>
  <si>
    <t>C10896</t>
  </si>
  <si>
    <t>L00896</t>
  </si>
  <si>
    <t>C10897</t>
  </si>
  <si>
    <t>L00897</t>
  </si>
  <si>
    <t>C10898</t>
  </si>
  <si>
    <t>L00898</t>
  </si>
  <si>
    <t>C10899</t>
  </si>
  <si>
    <t>L00899</t>
  </si>
  <si>
    <t>C10900</t>
  </si>
  <si>
    <t>L00900</t>
  </si>
  <si>
    <t>C10901</t>
  </si>
  <si>
    <t>L00901</t>
  </si>
  <si>
    <t>C10902</t>
  </si>
  <si>
    <t>L00902</t>
  </si>
  <si>
    <t>C10903</t>
  </si>
  <si>
    <t>L00903</t>
  </si>
  <si>
    <t>C10904</t>
  </si>
  <si>
    <t>L00904</t>
  </si>
  <si>
    <t>C10905</t>
  </si>
  <si>
    <t>L00905</t>
  </si>
  <si>
    <t>C10906</t>
  </si>
  <si>
    <t>L00906</t>
  </si>
  <si>
    <t>C10907</t>
  </si>
  <si>
    <t>L00907</t>
  </si>
  <si>
    <t>C10908</t>
  </si>
  <si>
    <t>L00908</t>
  </si>
  <si>
    <t>C10909</t>
  </si>
  <si>
    <t>L00909</t>
  </si>
  <si>
    <t>C10910</t>
  </si>
  <si>
    <t>L00910</t>
  </si>
  <si>
    <t>C10911</t>
  </si>
  <si>
    <t>L00911</t>
  </si>
  <si>
    <t>C10912</t>
  </si>
  <si>
    <t>L00912</t>
  </si>
  <si>
    <t>C10913</t>
  </si>
  <si>
    <t>L00913</t>
  </si>
  <si>
    <t>C10914</t>
  </si>
  <si>
    <t>L00914</t>
  </si>
  <si>
    <t>C10915</t>
  </si>
  <si>
    <t>L00915</t>
  </si>
  <si>
    <t>C10916</t>
  </si>
  <si>
    <t>L00916</t>
  </si>
  <si>
    <t>C10917</t>
  </si>
  <si>
    <t>L00917</t>
  </si>
  <si>
    <t>C10918</t>
  </si>
  <si>
    <t>L00918</t>
  </si>
  <si>
    <t>C10919</t>
  </si>
  <si>
    <t>L00919</t>
  </si>
  <si>
    <t>C10920</t>
  </si>
  <si>
    <t>L00920</t>
  </si>
  <si>
    <t>C10921</t>
  </si>
  <si>
    <t>L00921</t>
  </si>
  <si>
    <t>C10922</t>
  </si>
  <si>
    <t>L00922</t>
  </si>
  <si>
    <t>C10923</t>
  </si>
  <si>
    <t>L00923</t>
  </si>
  <si>
    <t>C10924</t>
  </si>
  <si>
    <t>L00924</t>
  </si>
  <si>
    <t>C10925</t>
  </si>
  <si>
    <t>L00925</t>
  </si>
  <si>
    <t>C10926</t>
  </si>
  <si>
    <t>L00926</t>
  </si>
  <si>
    <t>C10927</t>
  </si>
  <si>
    <t>L00927</t>
  </si>
  <si>
    <t>C10928</t>
  </si>
  <si>
    <t>L00928</t>
  </si>
  <si>
    <t>C10929</t>
  </si>
  <si>
    <t>L00929</t>
  </si>
  <si>
    <t>C10930</t>
  </si>
  <si>
    <t>L00930</t>
  </si>
  <si>
    <t>C10931</t>
  </si>
  <si>
    <t>L00931</t>
  </si>
  <si>
    <t>C10932</t>
  </si>
  <si>
    <t>L00932</t>
  </si>
  <si>
    <t>C10933</t>
  </si>
  <si>
    <t>L00933</t>
  </si>
  <si>
    <t>C10934</t>
  </si>
  <si>
    <t>L00934</t>
  </si>
  <si>
    <t>C10935</t>
  </si>
  <si>
    <t>L00935</t>
  </si>
  <si>
    <t>C10936</t>
  </si>
  <si>
    <t>L00936</t>
  </si>
  <si>
    <t>C10937</t>
  </si>
  <si>
    <t>L00937</t>
  </si>
  <si>
    <t>C10938</t>
  </si>
  <si>
    <t>L00938</t>
  </si>
  <si>
    <t>C10939</t>
  </si>
  <si>
    <t>L00939</t>
  </si>
  <si>
    <t>C10940</t>
  </si>
  <si>
    <t>L00940</t>
  </si>
  <si>
    <t>C10941</t>
  </si>
  <si>
    <t>L00941</t>
  </si>
  <si>
    <t>C10942</t>
  </si>
  <si>
    <t>L00942</t>
  </si>
  <si>
    <t>C10943</t>
  </si>
  <si>
    <t>L00943</t>
  </si>
  <si>
    <t>C10944</t>
  </si>
  <si>
    <t>L00944</t>
  </si>
  <si>
    <t>C10945</t>
  </si>
  <si>
    <t>L00945</t>
  </si>
  <si>
    <t>C10946</t>
  </si>
  <si>
    <t>L00946</t>
  </si>
  <si>
    <t>C10947</t>
  </si>
  <si>
    <t>L00947</t>
  </si>
  <si>
    <t>C10948</t>
  </si>
  <si>
    <t>L00948</t>
  </si>
  <si>
    <t>C10949</t>
  </si>
  <si>
    <t>L00949</t>
  </si>
  <si>
    <t>C10950</t>
  </si>
  <si>
    <t>L00950</t>
  </si>
  <si>
    <t>C10951</t>
  </si>
  <si>
    <t>L00951</t>
  </si>
  <si>
    <t>C10952</t>
  </si>
  <si>
    <t>L00952</t>
  </si>
  <si>
    <t>C10953</t>
  </si>
  <si>
    <t>L00953</t>
  </si>
  <si>
    <t>C10954</t>
  </si>
  <si>
    <t>L00954</t>
  </si>
  <si>
    <t>C10955</t>
  </si>
  <si>
    <t>L00955</t>
  </si>
  <si>
    <t>C10956</t>
  </si>
  <si>
    <t>L00956</t>
  </si>
  <si>
    <t>C10957</t>
  </si>
  <si>
    <t>L00957</t>
  </si>
  <si>
    <t>C10958</t>
  </si>
  <si>
    <t>L00958</t>
  </si>
  <si>
    <t>C10959</t>
  </si>
  <si>
    <t>L00959</t>
  </si>
  <si>
    <t>C10960</t>
  </si>
  <si>
    <t>L00960</t>
  </si>
  <si>
    <t>C10961</t>
  </si>
  <si>
    <t>L00961</t>
  </si>
  <si>
    <t>C10962</t>
  </si>
  <si>
    <t>L00962</t>
  </si>
  <si>
    <t>C10963</t>
  </si>
  <si>
    <t>L00963</t>
  </si>
  <si>
    <t>C10964</t>
  </si>
  <si>
    <t>L00964</t>
  </si>
  <si>
    <t>C10965</t>
  </si>
  <si>
    <t>L00965</t>
  </si>
  <si>
    <t>C10966</t>
  </si>
  <si>
    <t>L00966</t>
  </si>
  <si>
    <t>C10967</t>
  </si>
  <si>
    <t>L00967</t>
  </si>
  <si>
    <t>C10968</t>
  </si>
  <si>
    <t>L00968</t>
  </si>
  <si>
    <t>C10969</t>
  </si>
  <si>
    <t>L00969</t>
  </si>
  <si>
    <t>C10970</t>
  </si>
  <si>
    <t>L00970</t>
  </si>
  <si>
    <t>C10971</t>
  </si>
  <si>
    <t>L00971</t>
  </si>
  <si>
    <t>C10972</t>
  </si>
  <si>
    <t>L00972</t>
  </si>
  <si>
    <t>C10973</t>
  </si>
  <si>
    <t>L00973</t>
  </si>
  <si>
    <t>C10974</t>
  </si>
  <si>
    <t>L00974</t>
  </si>
  <si>
    <t>C10975</t>
  </si>
  <si>
    <t>L00975</t>
  </si>
  <si>
    <t>C10976</t>
  </si>
  <si>
    <t>L00976</t>
  </si>
  <si>
    <t>C10977</t>
  </si>
  <si>
    <t>L00977</t>
  </si>
  <si>
    <t>C10978</t>
  </si>
  <si>
    <t>L00978</t>
  </si>
  <si>
    <t>C10979</t>
  </si>
  <si>
    <t>L00979</t>
  </si>
  <si>
    <t>C10980</t>
  </si>
  <si>
    <t>L00980</t>
  </si>
  <si>
    <t>C10981</t>
  </si>
  <si>
    <t>L00981</t>
  </si>
  <si>
    <t>C10982</t>
  </si>
  <si>
    <t>L00982</t>
  </si>
  <si>
    <t>C10983</t>
  </si>
  <si>
    <t>L00983</t>
  </si>
  <si>
    <t>C10984</t>
  </si>
  <si>
    <t>L00984</t>
  </si>
  <si>
    <t>C10985</t>
  </si>
  <si>
    <t>L00985</t>
  </si>
  <si>
    <t>C10986</t>
  </si>
  <si>
    <t>L00986</t>
  </si>
  <si>
    <t>C10987</t>
  </si>
  <si>
    <t>L00987</t>
  </si>
  <si>
    <t>C10988</t>
  </si>
  <si>
    <t>L00988</t>
  </si>
  <si>
    <t>C10989</t>
  </si>
  <si>
    <t>L00989</t>
  </si>
  <si>
    <t>C10990</t>
  </si>
  <si>
    <t>L00990</t>
  </si>
  <si>
    <t>C10991</t>
  </si>
  <si>
    <t>L00991</t>
  </si>
  <si>
    <t>C10992</t>
  </si>
  <si>
    <t>L00992</t>
  </si>
  <si>
    <t>C10993</t>
  </si>
  <si>
    <t>L00993</t>
  </si>
  <si>
    <t>C10994</t>
  </si>
  <si>
    <t>L00994</t>
  </si>
  <si>
    <t>C10995</t>
  </si>
  <si>
    <t>L00995</t>
  </si>
  <si>
    <t>C10996</t>
  </si>
  <si>
    <t>L00996</t>
  </si>
  <si>
    <t>C10997</t>
  </si>
  <si>
    <t>L00997</t>
  </si>
  <si>
    <t>C10998</t>
  </si>
  <si>
    <t>L00998</t>
  </si>
  <si>
    <t>C10999</t>
  </si>
  <si>
    <t>L00999</t>
  </si>
  <si>
    <t>C11000</t>
  </si>
  <si>
    <t>L01000</t>
  </si>
  <si>
    <t>C11001</t>
  </si>
  <si>
    <t>Count of Loan_ID</t>
  </si>
  <si>
    <t>Sum of Loan_Amount</t>
  </si>
  <si>
    <t>Average of Loan_Amount</t>
  </si>
  <si>
    <t>Row Labels</t>
  </si>
  <si>
    <t>Grand Total</t>
  </si>
  <si>
    <t xml:space="preserve">BANK LOAN ANALYIS DASHBOARD </t>
  </si>
  <si>
    <t xml:space="preserve">TOTAL LOANS </t>
  </si>
  <si>
    <r>
      <rPr>
        <b/>
        <sz val="11"/>
        <color theme="5" tint="-0.499984740745262"/>
        <rFont val="Calibri"/>
        <family val="2"/>
        <scheme val="minor"/>
      </rPr>
      <t xml:space="preserve">TOTAL LOAN AMOUNT </t>
    </r>
    <r>
      <rPr>
        <sz val="11"/>
        <color theme="1"/>
        <rFont val="Calibri"/>
        <family val="2"/>
        <scheme val="minor"/>
      </rPr>
      <t xml:space="preserve"> </t>
    </r>
  </si>
  <si>
    <t xml:space="preserve">AVERAGE LOAN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</si>
</sst>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family val="2"/>
      <scheme val="minor"/>
    </font>
    <font>
      <b/>
      <sz val="11"/>
      <color theme="3"/>
      <name val="Calibri"/>
      <family val="2"/>
      <scheme val="minor"/>
    </font>
    <font>
      <b/>
      <sz val="11"/>
      <color theme="1"/>
      <name val="Calibri"/>
      <family val="2"/>
      <scheme val="minor"/>
    </font>
    <font>
      <sz val="11"/>
      <color theme="3"/>
      <name val="Calibri"/>
      <family val="2"/>
      <scheme val="minor"/>
    </font>
    <font>
      <b/>
      <sz val="11"/>
      <color theme="5"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vertical="top"/>
    </xf>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top"/>
    </xf>
    <xf numFmtId="0" fontId="3" fillId="0" borderId="0" xfId="0" applyFont="1" applyAlignment="1">
      <alignment horizontal="center" vertical="top"/>
    </xf>
    <xf numFmtId="0" fontId="0" fillId="0" borderId="0" xfId="0" applyAlignment="1">
      <alignment horizontal="center" vertical="top"/>
    </xf>
    <xf numFmtId="0" fontId="2" fillId="0" borderId="0" xfId="0" applyFont="1" applyAlignment="1">
      <alignment horizontal="center" vertical="top"/>
    </xf>
  </cellXfs>
  <cellStyles count="1">
    <cellStyle name="Normal" xfId="0" builtinId="0"/>
  </cellStyles>
  <dxfs count="11">
    <dxf>
      <numFmt numFmtId="164" formatCode="yyyy\-mm\-dd"/>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[Bank_Loan_Analysis_Dataset.xlsx]Loan Status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Loan Status Analysis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'Loan Status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89-4882-B0F2-38795D9574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89-4882-B0F2-38795D957476}"/>
              </c:ext>
            </c:extLst>
          </c:dPt>
          <c:cat>
            <c:strRef>
              <c:f>'Loan Status Analysis'!$A$4:$A$6</c:f>
              <c:strCache>
                <c:ptCount val="2"/>
                <c:pt idx="0">
                  <c:v>Approved</c:v>
                </c:pt>
                <c:pt idx="1">
                  <c:v>Rejected</c:v>
                </c:pt>
              </c:strCache>
            </c:strRef>
          </c:cat>
          <c:val>
            <c:numRef>
              <c:f>'Loan Status Analysis'!$B$4:$B$6</c:f>
              <c:numCache>
                <c:formatCode>General</c:formatCode>
                <c:ptCount val="2"/>
                <c:pt idx="0">
                  <c:v>821</c:v>
                </c:pt>
                <c:pt idx="1">
                  <c:v>179</c:v>
                </c:pt>
              </c:numCache>
            </c:numRef>
          </c:val>
          <c:extLst>
            <c:ext xmlns:c16="http://schemas.microsoft.com/office/drawing/2014/chart" uri="{C3380CC4-5D6E-409C-BE32-E72D297353CC}">
              <c16:uniqueId val="{00000005-514C-4EBB-BE68-A7D4E606B18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[Bank_Loan_Analysis_Dataset.xlsx]loan by gender !PivotTable5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Applications by Gender</a:t>
            </a:r>
          </a:p>
        </c:rich>
      </c:tx>
      <c:layout>
        <c:manualLayout>
          <c:xMode val="edge"/>
          <c:yMode val="edge"/>
          <c:x val="0.10511278616863283"/>
          <c:y val="0.179024496937882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'loan by gender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7D-414F-847A-CE9AA615E1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7D-414F-847A-CE9AA615E187}"/>
              </c:ext>
            </c:extLst>
          </c:dPt>
          <c:dLbls>
            <c:delete val="1"/>
          </c:dLbls>
          <c:cat>
            <c:strRef>
              <c:f>'loan by gender '!$A$4:$A$6</c:f>
              <c:strCache>
                <c:ptCount val="2"/>
                <c:pt idx="0">
                  <c:v>Female</c:v>
                </c:pt>
                <c:pt idx="1">
                  <c:v>Male</c:v>
                </c:pt>
              </c:strCache>
            </c:strRef>
          </c:cat>
          <c:val>
            <c:numRef>
              <c:f>'loan by gender '!$B$4:$B$6</c:f>
              <c:numCache>
                <c:formatCode>General</c:formatCode>
                <c:ptCount val="2"/>
                <c:pt idx="0">
                  <c:v>523</c:v>
                </c:pt>
                <c:pt idx="1">
                  <c:v>477</c:v>
                </c:pt>
              </c:numCache>
            </c:numRef>
          </c:val>
          <c:extLst>
            <c:ext xmlns:c16="http://schemas.microsoft.com/office/drawing/2014/chart" uri="{C3380CC4-5D6E-409C-BE32-E72D297353CC}">
              <c16:uniqueId val="{00000004-4A7D-414F-847A-CE9AA615E1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[Bank_Loan_Analysis_Dataset.xlsx]loan by employement !PivotTable6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a:t>
            </a:r>
            <a:r>
              <a:rPr lang="en-US" baseline="0"/>
              <a:t> CHART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3594313210848644"/>
          <c:y val="0.28936424613589962"/>
          <c:w val="0.35240048118985129"/>
          <c:h val="0.58733413531641876"/>
        </c:manualLayout>
      </c:layout>
      <c:doughnutChart>
        <c:varyColors val="1"/>
        <c:ser>
          <c:idx val="0"/>
          <c:order val="0"/>
          <c:tx>
            <c:strRef>
              <c:f>'loan by employement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8E-4629-AC50-52A8B49307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8E-4629-AC50-52A8B49307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'loan by employement '!$A$4:$A$6</c:f>
              <c:strCache>
                <c:ptCount val="2"/>
                <c:pt idx="0">
                  <c:v>Salaried</c:v>
                </c:pt>
                <c:pt idx="1">
                  <c:v>Self Employed</c:v>
                </c:pt>
              </c:strCache>
            </c:strRef>
          </c:cat>
          <c:val>
            <c:numRef>
              <c:f>'loan by employement '!$B$4:$B$6</c:f>
              <c:numCache>
                <c:formatCode>General</c:formatCode>
                <c:ptCount val="2"/>
                <c:pt idx="0">
                  <c:v>494</c:v>
                </c:pt>
                <c:pt idx="1">
                  <c:v>506</c:v>
                </c:pt>
              </c:numCache>
            </c:numRef>
          </c:val>
          <c:extLst>
            <c:ext xmlns:c16="http://schemas.microsoft.com/office/drawing/2014/chart" uri="{C3380CC4-5D6E-409C-BE32-E72D297353CC}">
              <c16:uniqueId val="{00000004-508E-4629-AC50-52A8B49307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[Bank_Loan_Analysis_Dataset.xlsx]loan by purpose !PivotTable8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a:t>
            </a:r>
            <a:r>
              <a:rPr lang="en-IN" baseline="0"/>
              <a:t> BY PURPOSE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'loan by purpose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E3-4FB2-89E6-FF80FC3CDC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E3-4FB2-89E6-FF80FC3CDC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E3-4FB2-89E6-FF80FC3CDC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E3-4FB2-89E6-FF80FC3CDC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E3-4FB2-89E6-FF80FC3CDCC8}"/>
              </c:ext>
            </c:extLst>
          </c:dPt>
          <c:cat>
            <c:strRef>
              <c:f>'loan by purpose '!$A$4:$A$9</c:f>
              <c:strCache>
                <c:ptCount val="5"/>
                <c:pt idx="0">
                  <c:v>Business</c:v>
                </c:pt>
                <c:pt idx="1">
                  <c:v>Car</c:v>
                </c:pt>
                <c:pt idx="2">
                  <c:v>Education</c:v>
                </c:pt>
                <c:pt idx="3">
                  <c:v>Home</c:v>
                </c:pt>
                <c:pt idx="4">
                  <c:v>Personal</c:v>
                </c:pt>
              </c:strCache>
            </c:strRef>
          </c:cat>
          <c:val>
            <c:numRef>
              <c:f>'loan by purpose '!$B$4:$B$9</c:f>
              <c:numCache>
                <c:formatCode>General</c:formatCode>
                <c:ptCount val="5"/>
                <c:pt idx="0">
                  <c:v>210</c:v>
                </c:pt>
                <c:pt idx="1">
                  <c:v>200</c:v>
                </c:pt>
                <c:pt idx="2">
                  <c:v>201</c:v>
                </c:pt>
                <c:pt idx="3">
                  <c:v>204</c:v>
                </c:pt>
                <c:pt idx="4">
                  <c:v>185</c:v>
                </c:pt>
              </c:numCache>
            </c:numRef>
          </c:val>
          <c:extLst>
            <c:ext xmlns:c16="http://schemas.microsoft.com/office/drawing/2014/chart" uri="{C3380CC4-5D6E-409C-BE32-E72D297353CC}">
              <c16:uniqueId val="{0000000A-44E3-4FB2-89E6-FF80FC3CDC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[Bank_Loan_Analysis_Dataset.xlsx]Default 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DEFAULIT</a:t>
            </a:r>
            <a:r>
              <a:rPr lang="en-US" baseline="0"/>
              <a:t> ANALYIS</a:t>
            </a:r>
            <a:r>
              <a:rPr lang="en-US"/>
              <a:t>lS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'Default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B1-42ED-9936-13F531DC97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B1-42ED-9936-13F531DC97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'Default Analysis'!$A$4:$A$6</c:f>
              <c:strCache>
                <c:ptCount val="2"/>
                <c:pt idx="0">
                  <c:v>No</c:v>
                </c:pt>
                <c:pt idx="1">
                  <c:v>Yes</c:v>
                </c:pt>
              </c:strCache>
            </c:strRef>
          </c:cat>
          <c:val>
            <c:numRef>
              <c:f>'Default Analysis'!$B$4:$B$6</c:f>
              <c:numCache>
                <c:formatCode>General</c:formatCode>
                <c:ptCount val="2"/>
                <c:pt idx="0">
                  <c:v>943</c:v>
                </c:pt>
                <c:pt idx="1">
                  <c:v>57</c:v>
                </c:pt>
              </c:numCache>
            </c:numRef>
          </c:val>
          <c:extLst>
            <c:ext xmlns:c16="http://schemas.microsoft.com/office/drawing/2014/chart" uri="{C3380CC4-5D6E-409C-BE32-E72D297353CC}">
              <c16:uniqueId val="{00000004-83B1-42ED-9936-13F531DC97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[Bank_Loan_Analysis_Dataset.xlsx]Loan by State!PivotTable7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a:t>
            </a:r>
            <a:r>
              <a:rPr lang="en-IN" baseline="0"/>
              <a:t> by state</a:t>
            </a:r>
          </a:p>
          <a:p>
            <a:pPr>
              <a:defRPr/>
            </a:pPr>
            <a:endParaRPr lang="en-IN"/>
          </a:p>
        </c:rich>
      </c:tx>
      <c:layout>
        <c:manualLayout>
          <c:xMode val="edge"/>
          <c:yMode val="edge"/>
          <c:x val="0.20663023679417122"/>
          <c:y val="0.136073416354870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'Loan by State'!$B$3</c:f>
              <c:strCache>
                <c:ptCount val="1"/>
                <c:pt idx="0">
                  <c:v>Total</c:v>
                </c:pt>
              </c:strCache>
            </c:strRef>
          </c:tx>
          <c:spPr>
            <a:solidFill>
              <a:schemeClr val="accent1"/>
            </a:solidFill>
            <a:ln>
              <a:noFill/>
            </a:ln>
            <a:effectLst/>
          </c:spPr>
          <c:invertIfNegative val="0"/>
          <c:cat>
            <c:strRef>
              <c:f>'Loan by State'!$A$4:$A$10</c:f>
              <c:strCache>
                <c:ptCount val="6"/>
                <c:pt idx="0">
                  <c:v>Delhi</c:v>
                </c:pt>
                <c:pt idx="1">
                  <c:v>Karnataka</c:v>
                </c:pt>
                <c:pt idx="2">
                  <c:v>Kerala</c:v>
                </c:pt>
                <c:pt idx="3">
                  <c:v>Maharashtra</c:v>
                </c:pt>
                <c:pt idx="4">
                  <c:v>Tamil Nadu</c:v>
                </c:pt>
                <c:pt idx="5">
                  <c:v>Telangana</c:v>
                </c:pt>
              </c:strCache>
            </c:strRef>
          </c:cat>
          <c:val>
            <c:numRef>
              <c:f>'Loan by State'!$B$4:$B$10</c:f>
              <c:numCache>
                <c:formatCode>General</c:formatCode>
                <c:ptCount val="6"/>
                <c:pt idx="0">
                  <c:v>151</c:v>
                </c:pt>
                <c:pt idx="1">
                  <c:v>150</c:v>
                </c:pt>
                <c:pt idx="2">
                  <c:v>161</c:v>
                </c:pt>
                <c:pt idx="3">
                  <c:v>173</c:v>
                </c:pt>
                <c:pt idx="4">
                  <c:v>172</c:v>
                </c:pt>
                <c:pt idx="5">
                  <c:v>193</c:v>
                </c:pt>
              </c:numCache>
            </c:numRef>
          </c:val>
          <c:extLst>
            <c:ext xmlns:c16="http://schemas.microsoft.com/office/drawing/2014/chart" uri="{C3380CC4-5D6E-409C-BE32-E72D297353CC}">
              <c16:uniqueId val="{00000000-1A93-43CD-A37D-9389E8B06F1A}"/>
            </c:ext>
          </c:extLst>
        </c:ser>
        <c:dLbls>
          <c:showLegendKey val="0"/>
          <c:showVal val="0"/>
          <c:showCatName val="0"/>
          <c:showSerName val="0"/>
          <c:showPercent val="0"/>
          <c:showBubbleSize val="0"/>
        </c:dLbls>
        <c:gapWidth val="219"/>
        <c:overlap val="-27"/>
        <c:axId val="959510671"/>
        <c:axId val="959511503"/>
      </c:barChart>
      <c:catAx>
        <c:axId val="95951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11503"/>
        <c:crosses val="autoZero"/>
        <c:auto val="1"/>
        <c:lblAlgn val="ctr"/>
        <c:lblOffset val="100"/>
        <c:noMultiLvlLbl val="0"/>
      </c:catAx>
      <c:valAx>
        <c:axId val="95951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106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xdr:colOff>
      <xdr:row>8</xdr:row>
      <xdr:rowOff>76199</xdr:rowOff>
    </xdr:from>
    <xdr:to>
      <xdr:col>2</xdr:col>
      <xdr:colOff>409576</xdr:colOff>
      <xdr:row>18</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38101</xdr:colOff>
      <xdr:row>8</xdr:row>
      <xdr:rowOff>161924</xdr:rowOff>
    </xdr:from>
    <xdr:to>
      <xdr:col>6</xdr:col>
      <xdr:colOff>428625</xdr:colOff>
      <xdr:row>17</xdr:row>
      <xdr:rowOff>142875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542925</xdr:colOff>
      <xdr:row>8</xdr:row>
      <xdr:rowOff>133349</xdr:rowOff>
    </xdr:from>
    <xdr:to>
      <xdr:col>11</xdr:col>
      <xdr:colOff>161925</xdr:colOff>
      <xdr:row>18</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257175</xdr:colOff>
      <xdr:row>20</xdr:row>
      <xdr:rowOff>180975</xdr:rowOff>
    </xdr:from>
    <xdr:to>
      <xdr:col>5</xdr:col>
      <xdr:colOff>276225</xdr:colOff>
      <xdr:row>32</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495300</xdr:colOff>
      <xdr:row>20</xdr:row>
      <xdr:rowOff>171450</xdr:rowOff>
    </xdr:from>
    <xdr:to>
      <xdr:col>11</xdr:col>
      <xdr:colOff>66675</xdr:colOff>
      <xdr:row>33</xdr:row>
      <xdr:rowOff>66675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104775</xdr:colOff>
      <xdr:row>34</xdr:row>
      <xdr:rowOff>85725</xdr:rowOff>
    </xdr:from>
    <xdr:to>
      <xdr:col>3</xdr:col>
      <xdr:colOff>109588</xdr:colOff>
      <xdr:row>47</xdr:row>
      <xdr:rowOff>108830</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775" y="6562725"/>
              <a:ext cx="1833613" cy="2499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600075</xdr:colOff>
      <xdr:row>34</xdr:row>
      <xdr:rowOff>114300</xdr:rowOff>
    </xdr:from>
    <xdr:to>
      <xdr:col>6</xdr:col>
      <xdr:colOff>486435</xdr:colOff>
      <xdr:row>47</xdr:row>
      <xdr:rowOff>137405</xdr:rowOff>
    </xdr:to>
    <mc:AlternateContent xmlns:mc="http://schemas.openxmlformats.org/markup-compatibility/2006" xmlns:a14="http://schemas.microsoft.com/office/drawing/2010/main">
      <mc:Choice Requires="a14">
        <xdr:graphicFrame macro="">
          <xdr:nvGraphicFramePr>
            <xdr:cNvPr id="9" name="Employment"/>
            <xdr:cNvGraphicFramePr/>
          </xdr:nvGraphicFramePr>
          <xdr:xfrm>
            <a:off x="0" y="0"/>
            <a:ext cx="0" cy="0"/>
          </xdr:xfrm>
          <a:graphic>
            <a:graphicData uri="http://schemas.microsoft.com/office/drawing/2010/slicer">
              <sle:slicer xmlns:sle="http://schemas.microsoft.com/office/drawing/2010/slicer" name="Employment"/>
            </a:graphicData>
          </a:graphic>
        </xdr:graphicFrame>
      </mc:Choice>
      <mc:Fallback xmlns="">
        <xdr:sp macro="" textlink="">
          <xdr:nvSpPr>
            <xdr:cNvPr id="0" name=""/>
            <xdr:cNvSpPr>
              <a:spLocks noTextEdit="1"/>
            </xdr:cNvSpPr>
          </xdr:nvSpPr>
          <xdr:spPr>
            <a:xfrm>
              <a:off x="2428875" y="6591300"/>
              <a:ext cx="1838985" cy="2499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34</xdr:row>
      <xdr:rowOff>47625</xdr:rowOff>
    </xdr:from>
    <xdr:to>
      <xdr:col>10</xdr:col>
      <xdr:colOff>534060</xdr:colOff>
      <xdr:row>47</xdr:row>
      <xdr:rowOff>70730</xdr:rowOff>
    </xdr:to>
    <mc:AlternateContent xmlns:mc="http://schemas.openxmlformats.org/markup-compatibility/2006" xmlns:a14="http://schemas.microsoft.com/office/drawing/2010/main">
      <mc:Choice Requires="a14">
        <xdr:graphicFrame macro="">
          <xdr:nvGraphicFramePr>
            <xdr:cNvPr id="10" name="Loan_Status"/>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4962525" y="6524625"/>
              <a:ext cx="1838985" cy="2499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34</xdr:row>
      <xdr:rowOff>85725</xdr:rowOff>
    </xdr:from>
    <xdr:to>
      <xdr:col>14</xdr:col>
      <xdr:colOff>457860</xdr:colOff>
      <xdr:row>47</xdr:row>
      <xdr:rowOff>108830</xdr:rowOff>
    </xdr:to>
    <mc:AlternateContent xmlns:mc="http://schemas.openxmlformats.org/markup-compatibility/2006" xmlns:a14="http://schemas.microsoft.com/office/drawing/2010/main">
      <mc:Choice Requires="a14">
        <xdr:graphicFrame macro="">
          <xdr:nvGraphicFramePr>
            <xdr:cNvPr id="11"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324725" y="6562725"/>
              <a:ext cx="1838985" cy="2499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514350</xdr:colOff>
      <xdr:row>34</xdr:row>
      <xdr:rowOff>85725</xdr:rowOff>
    </xdr:from>
    <xdr:to>
      <xdr:col>18</xdr:col>
      <xdr:colOff>524535</xdr:colOff>
      <xdr:row>47</xdr:row>
      <xdr:rowOff>108830</xdr:rowOff>
    </xdr:to>
    <mc:AlternateContent xmlns:mc="http://schemas.openxmlformats.org/markup-compatibility/2006" xmlns:a14="http://schemas.microsoft.com/office/drawing/2010/main">
      <mc:Choice Requires="a14">
        <xdr:graphicFrame macro="">
          <xdr:nvGraphicFramePr>
            <xdr:cNvPr id="12" name="Purpose"/>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mlns="">
        <xdr:sp macro="" textlink="">
          <xdr:nvSpPr>
            <xdr:cNvPr id="0" name=""/>
            <xdr:cNvSpPr>
              <a:spLocks noTextEdit="1"/>
            </xdr:cNvSpPr>
          </xdr:nvSpPr>
          <xdr:spPr>
            <a:xfrm>
              <a:off x="9829800" y="6562725"/>
              <a:ext cx="1838985" cy="2499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xdr:colOff>
      <xdr:row>20</xdr:row>
      <xdr:rowOff>9525</xdr:rowOff>
    </xdr:from>
    <xdr:to>
      <xdr:col>17</xdr:col>
      <xdr:colOff>285751</xdr:colOff>
      <xdr:row>32</xdr:row>
      <xdr:rowOff>123825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30.393484722219" createdVersion="6" refreshedVersion="6" minRefreshableVersion="3" recordCount="1000">
  <cacheSource type="worksheet">
    <worksheetSource name="Table1"/>
  </cacheSource>
  <cacheFields count="19">
    <cacheField name="Loan_ID" numFmtId="0">
      <sharedItems/>
    </cacheField>
    <cacheField name="Customer_ID" numFmtId="0">
      <sharedItems/>
    </cacheField>
    <cacheField name="Gender" numFmtId="0">
      <sharedItems count="2">
        <s v="Male"/>
        <s v="Female"/>
      </sharedItems>
    </cacheField>
    <cacheField name="Age" numFmtId="0">
      <sharedItems containsSemiMixedTypes="0" containsString="0" containsNumber="1" containsInteger="1" minValue="21" maxValue="60"/>
    </cacheField>
    <cacheField name="Marital_Status" numFmtId="0">
      <sharedItems/>
    </cacheField>
    <cacheField name="Education" numFmtId="0">
      <sharedItems/>
    </cacheField>
    <cacheField name="Employment" numFmtId="0">
      <sharedItems count="2">
        <s v="Salaried"/>
        <s v="Self Employed"/>
      </sharedItems>
    </cacheField>
    <cacheField name="Annual_Income" numFmtId="0">
      <sharedItems containsSemiMixedTypes="0" containsString="0" containsNumber="1" containsInteger="1" minValue="253898" maxValue="1998997"/>
    </cacheField>
    <cacheField name="Credit_Score" numFmtId="0">
      <sharedItems containsSemiMixedTypes="0" containsString="0" containsNumber="1" containsInteger="1" minValue="550" maxValue="850"/>
    </cacheField>
    <cacheField name="Loan_Amount" numFmtId="0">
      <sharedItems containsSemiMixedTypes="0" containsString="0" containsNumber="1" containsInteger="1" minValue="100620" maxValue="1999089"/>
    </cacheField>
    <cacheField name="Loan_Term_Months" numFmtId="0">
      <sharedItems containsSemiMixedTypes="0" containsString="0" containsNumber="1" containsInteger="1" minValue="12" maxValue="240"/>
    </cacheField>
    <cacheField name="Interest_Rate" numFmtId="0">
      <sharedItems containsSemiMixedTypes="0" containsString="0" containsNumber="1" minValue="7.52" maxValue="15.49"/>
    </cacheField>
    <cacheField name="Purpose" numFmtId="0">
      <sharedItems count="5">
        <s v="Car"/>
        <s v="Education"/>
        <s v="Business"/>
        <s v="Home"/>
        <s v="Personal"/>
      </sharedItems>
    </cacheField>
    <cacheField name="State" numFmtId="0">
      <sharedItems count="6">
        <s v="Maharashtra"/>
        <s v="Delhi"/>
        <s v="Kerala"/>
        <s v="Telangana"/>
        <s v="Tamil Nadu"/>
        <s v="Karnataka"/>
      </sharedItems>
    </cacheField>
    <cacheField name="Loan_Status" numFmtId="0">
      <sharedItems count="2">
        <s v="Approved"/>
        <s v="Rejected"/>
      </sharedItems>
    </cacheField>
    <cacheField name="EMI" numFmtId="0">
      <sharedItems containsSemiMixedTypes="0" containsString="0" containsNumber="1" minValue="487.57" maxValue="189605.22"/>
    </cacheField>
    <cacheField name="Outstanding_Balance" numFmtId="0">
      <sharedItems containsSemiMixedTypes="0" containsString="0" containsNumber="1" minValue="20375.419999999998" maxValue="1926537.32"/>
    </cacheField>
    <cacheField name="Default" numFmtId="0">
      <sharedItems count="2">
        <s v="No"/>
        <s v="Yes"/>
      </sharedItems>
    </cacheField>
    <cacheField name="Application_Date" numFmtId="164">
      <sharedItems containsSemiMixedTypes="0" containsNonDate="0" containsDate="1" containsString="0" minDate="2024-01-01T00:00:00" maxDate="2025-12-30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L00001"/>
    <s v="C10002"/>
    <x v="0"/>
    <n v="49"/>
    <s v="Single"/>
    <s v="Non Graduate"/>
    <x v="0"/>
    <n v="428226"/>
    <n v="758"/>
    <n v="583828"/>
    <n v="120"/>
    <n v="14.21"/>
    <x v="0"/>
    <x v="0"/>
    <x v="0"/>
    <n v="5556.58"/>
    <n v="179894.29"/>
    <x v="0"/>
    <d v="2024-10-15T00:00:00"/>
  </r>
  <r>
    <s v="L00002"/>
    <s v="C10003"/>
    <x v="1"/>
    <n v="57"/>
    <s v="Married"/>
    <s v="Non Graduate"/>
    <x v="1"/>
    <n v="284432"/>
    <n v="616"/>
    <n v="1325840"/>
    <n v="24"/>
    <n v="10.69"/>
    <x v="1"/>
    <x v="1"/>
    <x v="0"/>
    <n v="61148.85"/>
    <n v="834581.57"/>
    <x v="1"/>
    <d v="2025-03-12T00:00:00"/>
  </r>
  <r>
    <s v="L00003"/>
    <s v="C10004"/>
    <x v="0"/>
    <n v="59"/>
    <s v="Married"/>
    <s v="Non Graduate"/>
    <x v="1"/>
    <n v="975380"/>
    <n v="567"/>
    <n v="1364285"/>
    <n v="12"/>
    <n v="14.39"/>
    <x v="1"/>
    <x v="2"/>
    <x v="1"/>
    <n v="130050.47"/>
    <n v="429844.27"/>
    <x v="0"/>
    <d v="2024-10-01T00:00:00"/>
  </r>
  <r>
    <s v="L00004"/>
    <s v="C10005"/>
    <x v="0"/>
    <n v="36"/>
    <s v="Single"/>
    <s v="Graduate"/>
    <x v="1"/>
    <n v="1431891"/>
    <n v="682"/>
    <n v="1087701"/>
    <n v="60"/>
    <n v="8.86"/>
    <x v="2"/>
    <x v="3"/>
    <x v="0"/>
    <n v="19734.52"/>
    <n v="597128.63"/>
    <x v="0"/>
    <d v="2024-05-17T00:00:00"/>
  </r>
  <r>
    <s v="L00005"/>
    <s v="C10006"/>
    <x v="1"/>
    <n v="44"/>
    <s v="Single"/>
    <s v="Graduate"/>
    <x v="0"/>
    <n v="863038"/>
    <n v="551"/>
    <n v="793809"/>
    <n v="84"/>
    <n v="12.8"/>
    <x v="0"/>
    <x v="0"/>
    <x v="0"/>
    <n v="10659.72"/>
    <n v="240486.2"/>
    <x v="1"/>
    <d v="2025-06-14T00:00:00"/>
  </r>
  <r>
    <s v="L00006"/>
    <s v="C10007"/>
    <x v="0"/>
    <n v="51"/>
    <s v="Single"/>
    <s v="Graduate"/>
    <x v="0"/>
    <n v="431137"/>
    <n v="731"/>
    <n v="1633953"/>
    <n v="12"/>
    <n v="15.49"/>
    <x v="0"/>
    <x v="3"/>
    <x v="0"/>
    <n v="157254.35999999999"/>
    <n v="291078.18"/>
    <x v="0"/>
    <d v="2025-08-09T00:00:00"/>
  </r>
  <r>
    <s v="L00007"/>
    <s v="C10008"/>
    <x v="1"/>
    <n v="43"/>
    <s v="Married"/>
    <s v="Non Graduate"/>
    <x v="1"/>
    <n v="1707572"/>
    <n v="840"/>
    <n v="1816885"/>
    <n v="24"/>
    <n v="7.78"/>
    <x v="1"/>
    <x v="4"/>
    <x v="0"/>
    <n v="81593.279999999999"/>
    <n v="1776533.55"/>
    <x v="0"/>
    <d v="2025-10-17T00:00:00"/>
  </r>
  <r>
    <s v="L00008"/>
    <s v="C10009"/>
    <x v="0"/>
    <n v="49"/>
    <s v="Single"/>
    <s v="Non Graduate"/>
    <x v="0"/>
    <n v="808134"/>
    <n v="780"/>
    <n v="1375134"/>
    <n v="180"/>
    <n v="12.21"/>
    <x v="3"/>
    <x v="2"/>
    <x v="0"/>
    <n v="8572.43"/>
    <n v="238362.9"/>
    <x v="0"/>
    <d v="2024-03-24T00:00:00"/>
  </r>
  <r>
    <s v="L00009"/>
    <s v="C10010"/>
    <x v="1"/>
    <n v="31"/>
    <s v="Single"/>
    <s v="Non Graduate"/>
    <x v="0"/>
    <n v="1826629"/>
    <n v="640"/>
    <n v="536062"/>
    <n v="84"/>
    <n v="9.9700000000000006"/>
    <x v="4"/>
    <x v="3"/>
    <x v="1"/>
    <n v="7017.95"/>
    <n v="239297.45"/>
    <x v="0"/>
    <d v="2024-07-19T00:00:00"/>
  </r>
  <r>
    <s v="L00010"/>
    <s v="C10011"/>
    <x v="1"/>
    <n v="30"/>
    <s v="Married"/>
    <s v="Non Graduate"/>
    <x v="1"/>
    <n v="1780515"/>
    <n v="738"/>
    <n v="1249680"/>
    <n v="12"/>
    <n v="9.6300000000000008"/>
    <x v="3"/>
    <x v="1"/>
    <x v="0"/>
    <n v="114168.68"/>
    <n v="248190.81"/>
    <x v="0"/>
    <d v="2025-07-26T00:00:00"/>
  </r>
  <r>
    <s v="L00011"/>
    <s v="C10012"/>
    <x v="1"/>
    <n v="43"/>
    <s v="Married"/>
    <s v="Graduate"/>
    <x v="0"/>
    <n v="1358249"/>
    <n v="731"/>
    <n v="222251"/>
    <n v="60"/>
    <n v="10.08"/>
    <x v="3"/>
    <x v="3"/>
    <x v="0"/>
    <n v="4077.57"/>
    <n v="159605.10999999999"/>
    <x v="0"/>
    <d v="2024-07-15T00:00:00"/>
  </r>
  <r>
    <s v="L00012"/>
    <s v="C10013"/>
    <x v="1"/>
    <n v="22"/>
    <s v="Single"/>
    <s v="Non Graduate"/>
    <x v="1"/>
    <n v="1222218"/>
    <n v="717"/>
    <n v="1706250"/>
    <n v="60"/>
    <n v="10.14"/>
    <x v="1"/>
    <x v="0"/>
    <x v="0"/>
    <n v="31321.06"/>
    <n v="1009239.67"/>
    <x v="0"/>
    <d v="2024-06-06T00:00:00"/>
  </r>
  <r>
    <s v="L00013"/>
    <s v="C10014"/>
    <x v="1"/>
    <n v="33"/>
    <s v="Married"/>
    <s v="Graduate"/>
    <x v="0"/>
    <n v="1505735"/>
    <n v="726"/>
    <n v="286970"/>
    <n v="24"/>
    <n v="13.17"/>
    <x v="4"/>
    <x v="4"/>
    <x v="0"/>
    <n v="13531.83"/>
    <n v="254399.19"/>
    <x v="0"/>
    <d v="2025-10-22T00:00:00"/>
  </r>
  <r>
    <s v="L00014"/>
    <s v="C10015"/>
    <x v="1"/>
    <n v="41"/>
    <s v="Married"/>
    <s v="Graduate"/>
    <x v="1"/>
    <n v="1431418"/>
    <n v="738"/>
    <n v="1947540"/>
    <n v="84"/>
    <n v="9.77"/>
    <x v="3"/>
    <x v="2"/>
    <x v="0"/>
    <n v="25450.17"/>
    <n v="655200.80000000005"/>
    <x v="0"/>
    <d v="2025-04-29T00:00:00"/>
  </r>
  <r>
    <s v="L00015"/>
    <s v="C10016"/>
    <x v="1"/>
    <n v="48"/>
    <s v="Single"/>
    <s v="Graduate"/>
    <x v="0"/>
    <n v="1319401"/>
    <n v="807"/>
    <n v="1554567"/>
    <n v="24"/>
    <n v="9.4499999999999993"/>
    <x v="4"/>
    <x v="2"/>
    <x v="0"/>
    <n v="70894.73"/>
    <n v="273288.25"/>
    <x v="0"/>
    <d v="2024-07-10T00:00:00"/>
  </r>
  <r>
    <s v="L00016"/>
    <s v="C10017"/>
    <x v="0"/>
    <n v="54"/>
    <s v="Married"/>
    <s v="Graduate"/>
    <x v="1"/>
    <n v="713290"/>
    <n v="801"/>
    <n v="588765"/>
    <n v="48"/>
    <n v="12.05"/>
    <x v="3"/>
    <x v="4"/>
    <x v="0"/>
    <n v="13743.98"/>
    <n v="518964.87"/>
    <x v="0"/>
    <d v="2024-06-15T00:00:00"/>
  </r>
  <r>
    <s v="L00017"/>
    <s v="C10018"/>
    <x v="1"/>
    <n v="30"/>
    <s v="Married"/>
    <s v="Non Graduate"/>
    <x v="1"/>
    <n v="613823"/>
    <n v="711"/>
    <n v="458478"/>
    <n v="84"/>
    <n v="9.23"/>
    <x v="3"/>
    <x v="3"/>
    <x v="0"/>
    <n v="5961.85"/>
    <n v="128359.88"/>
    <x v="0"/>
    <d v="2024-11-04T00:00:00"/>
  </r>
  <r>
    <s v="L00018"/>
    <s v="C10019"/>
    <x v="0"/>
    <n v="48"/>
    <s v="Married"/>
    <s v="Non Graduate"/>
    <x v="1"/>
    <n v="784434"/>
    <n v="833"/>
    <n v="967187"/>
    <n v="24"/>
    <n v="14.89"/>
    <x v="3"/>
    <x v="4"/>
    <x v="0"/>
    <n v="46300.05"/>
    <n v="765589.12"/>
    <x v="0"/>
    <d v="2025-09-01T00:00:00"/>
  </r>
  <r>
    <s v="L00019"/>
    <s v="C10020"/>
    <x v="1"/>
    <n v="22"/>
    <s v="Married"/>
    <s v="Graduate"/>
    <x v="1"/>
    <n v="1175262"/>
    <n v="690"/>
    <n v="144666"/>
    <n v="60"/>
    <n v="7.54"/>
    <x v="0"/>
    <x v="4"/>
    <x v="0"/>
    <n v="2592.9"/>
    <n v="57432.28"/>
    <x v="0"/>
    <d v="2024-10-30T00:00:00"/>
  </r>
  <r>
    <s v="L00020"/>
    <s v="C10021"/>
    <x v="1"/>
    <n v="39"/>
    <s v="Married"/>
    <s v="Non Graduate"/>
    <x v="0"/>
    <n v="842071"/>
    <n v="587"/>
    <n v="1405091"/>
    <n v="48"/>
    <n v="8.93"/>
    <x v="3"/>
    <x v="4"/>
    <x v="0"/>
    <n v="31886.78"/>
    <n v="1343482.82"/>
    <x v="1"/>
    <d v="2024-06-15T00:00:00"/>
  </r>
  <r>
    <s v="L00021"/>
    <s v="C10022"/>
    <x v="0"/>
    <n v="31"/>
    <s v="Single"/>
    <s v="Graduate"/>
    <x v="1"/>
    <n v="1141001"/>
    <n v="593"/>
    <n v="268825"/>
    <n v="12"/>
    <n v="12.99"/>
    <x v="0"/>
    <x v="0"/>
    <x v="1"/>
    <n v="25312.11"/>
    <n v="150985.84"/>
    <x v="0"/>
    <d v="2024-12-02T00:00:00"/>
  </r>
  <r>
    <s v="L00022"/>
    <s v="C10023"/>
    <x v="0"/>
    <n v="49"/>
    <s v="Married"/>
    <s v="Graduate"/>
    <x v="1"/>
    <n v="1323666"/>
    <n v="779"/>
    <n v="1003253"/>
    <n v="48"/>
    <n v="13.6"/>
    <x v="3"/>
    <x v="0"/>
    <x v="0"/>
    <n v="23743.65"/>
    <n v="678715.58"/>
    <x v="0"/>
    <d v="2025-01-03T00:00:00"/>
  </r>
  <r>
    <s v="L00023"/>
    <s v="C10024"/>
    <x v="1"/>
    <n v="54"/>
    <s v="Married"/>
    <s v="Non Graduate"/>
    <x v="1"/>
    <n v="1054665"/>
    <n v="599"/>
    <n v="1537426"/>
    <n v="48"/>
    <n v="12.4"/>
    <x v="1"/>
    <x v="3"/>
    <x v="0"/>
    <n v="36001.39"/>
    <n v="1060696.83"/>
    <x v="1"/>
    <d v="2024-06-29T00:00:00"/>
  </r>
  <r>
    <s v="L00024"/>
    <s v="C10025"/>
    <x v="0"/>
    <n v="21"/>
    <s v="Married"/>
    <s v="Graduate"/>
    <x v="0"/>
    <n v="1172915"/>
    <n v="830"/>
    <n v="1968302"/>
    <n v="60"/>
    <n v="9.98"/>
    <x v="2"/>
    <x v="1"/>
    <x v="0"/>
    <n v="36078.980000000003"/>
    <n v="1801489.74"/>
    <x v="0"/>
    <d v="2025-11-24T00:00:00"/>
  </r>
  <r>
    <s v="L00025"/>
    <s v="C10026"/>
    <x v="1"/>
    <n v="38"/>
    <s v="Married"/>
    <s v="Graduate"/>
    <x v="0"/>
    <n v="621564"/>
    <n v="779"/>
    <n v="1641784"/>
    <n v="120"/>
    <n v="14.1"/>
    <x v="1"/>
    <x v="1"/>
    <x v="0"/>
    <n v="15610.63"/>
    <n v="1070133.04"/>
    <x v="0"/>
    <d v="2024-02-21T00:00:00"/>
  </r>
  <r>
    <s v="L00026"/>
    <s v="C10027"/>
    <x v="1"/>
    <n v="39"/>
    <s v="Single"/>
    <s v="Graduate"/>
    <x v="1"/>
    <n v="1354528"/>
    <n v="808"/>
    <n v="530723"/>
    <n v="36"/>
    <n v="9.2899999999999991"/>
    <x v="1"/>
    <x v="0"/>
    <x v="0"/>
    <n v="16111.87"/>
    <n v="528261.15"/>
    <x v="0"/>
    <d v="2024-08-08T00:00:00"/>
  </r>
  <r>
    <s v="L00027"/>
    <s v="C10028"/>
    <x v="0"/>
    <n v="38"/>
    <s v="Single"/>
    <s v="Graduate"/>
    <x v="1"/>
    <n v="689459"/>
    <n v="686"/>
    <n v="777618"/>
    <n v="24"/>
    <n v="12.59"/>
    <x v="2"/>
    <x v="4"/>
    <x v="0"/>
    <n v="36480"/>
    <n v="287882.57"/>
    <x v="0"/>
    <d v="2025-09-20T00:00:00"/>
  </r>
  <r>
    <s v="L00028"/>
    <s v="C10029"/>
    <x v="1"/>
    <n v="45"/>
    <s v="Single"/>
    <s v="Graduate"/>
    <x v="0"/>
    <n v="753679"/>
    <n v="584"/>
    <n v="1022230"/>
    <n v="120"/>
    <n v="10.14"/>
    <x v="3"/>
    <x v="2"/>
    <x v="1"/>
    <n v="9382.3700000000008"/>
    <n v="109149.2"/>
    <x v="0"/>
    <d v="2024-12-08T00:00:00"/>
  </r>
  <r>
    <s v="L00029"/>
    <s v="C10030"/>
    <x v="1"/>
    <n v="25"/>
    <s v="Married"/>
    <s v="Graduate"/>
    <x v="1"/>
    <n v="869182"/>
    <n v="737"/>
    <n v="651468"/>
    <n v="12"/>
    <n v="12.72"/>
    <x v="0"/>
    <x v="1"/>
    <x v="0"/>
    <n v="61194.559999999998"/>
    <n v="111303.51"/>
    <x v="0"/>
    <d v="2024-04-25T00:00:00"/>
  </r>
  <r>
    <s v="L00030"/>
    <s v="C10031"/>
    <x v="0"/>
    <n v="28"/>
    <s v="Married"/>
    <s v="Graduate"/>
    <x v="0"/>
    <n v="445261"/>
    <n v="633"/>
    <n v="1073185"/>
    <n v="180"/>
    <n v="9.08"/>
    <x v="2"/>
    <x v="0"/>
    <x v="1"/>
    <n v="6503.5"/>
    <n v="252296.4"/>
    <x v="0"/>
    <d v="2024-02-26T00:00:00"/>
  </r>
  <r>
    <s v="L00031"/>
    <s v="C10032"/>
    <x v="1"/>
    <n v="59"/>
    <s v="Married"/>
    <s v="Non Graduate"/>
    <x v="1"/>
    <n v="429407"/>
    <n v="655"/>
    <n v="1007972"/>
    <n v="24"/>
    <n v="9.6"/>
    <x v="4"/>
    <x v="1"/>
    <x v="0"/>
    <n v="46030.720000000001"/>
    <n v="423940.16"/>
    <x v="0"/>
    <d v="2024-03-05T00:00:00"/>
  </r>
  <r>
    <s v="L00032"/>
    <s v="C10033"/>
    <x v="0"/>
    <n v="51"/>
    <s v="Single"/>
    <s v="Graduate"/>
    <x v="1"/>
    <n v="557586"/>
    <n v="630"/>
    <n v="1680847"/>
    <n v="60"/>
    <n v="8.07"/>
    <x v="1"/>
    <x v="5"/>
    <x v="0"/>
    <n v="30274.86"/>
    <n v="1412716.21"/>
    <x v="0"/>
    <d v="2024-01-18T00:00:00"/>
  </r>
  <r>
    <s v="L00033"/>
    <s v="C10034"/>
    <x v="0"/>
    <n v="37"/>
    <s v="Single"/>
    <s v="Graduate"/>
    <x v="1"/>
    <n v="1001101"/>
    <n v="840"/>
    <n v="1277626"/>
    <n v="240"/>
    <n v="8.19"/>
    <x v="3"/>
    <x v="2"/>
    <x v="0"/>
    <n v="5759.43"/>
    <n v="635207.84"/>
    <x v="0"/>
    <d v="2024-04-25T00:00:00"/>
  </r>
  <r>
    <s v="L00034"/>
    <s v="C10035"/>
    <x v="0"/>
    <n v="37"/>
    <s v="Married"/>
    <s v="Graduate"/>
    <x v="0"/>
    <n v="1376360"/>
    <n v="552"/>
    <n v="776589"/>
    <n v="84"/>
    <n v="14.76"/>
    <x v="0"/>
    <x v="1"/>
    <x v="0"/>
    <n v="10609.68"/>
    <n v="255754.34"/>
    <x v="0"/>
    <d v="2024-05-14T00:00:00"/>
  </r>
  <r>
    <s v="L00035"/>
    <s v="C10036"/>
    <x v="1"/>
    <n v="58"/>
    <s v="Single"/>
    <s v="Graduate"/>
    <x v="0"/>
    <n v="1882178"/>
    <n v="831"/>
    <n v="1192258"/>
    <n v="60"/>
    <n v="12.56"/>
    <x v="2"/>
    <x v="2"/>
    <x v="0"/>
    <n v="22366.76"/>
    <n v="252800.84"/>
    <x v="0"/>
    <d v="2025-05-25T00:00:00"/>
  </r>
  <r>
    <s v="L00036"/>
    <s v="C10037"/>
    <x v="0"/>
    <n v="49"/>
    <s v="Married"/>
    <s v="Graduate"/>
    <x v="0"/>
    <n v="649340"/>
    <n v="788"/>
    <n v="288499"/>
    <n v="84"/>
    <n v="9.19"/>
    <x v="0"/>
    <x v="4"/>
    <x v="0"/>
    <n v="3750.14"/>
    <n v="179471.39"/>
    <x v="0"/>
    <d v="2024-11-26T00:00:00"/>
  </r>
  <r>
    <s v="L00037"/>
    <s v="C10038"/>
    <x v="1"/>
    <n v="32"/>
    <s v="Married"/>
    <s v="Graduate"/>
    <x v="0"/>
    <n v="643156"/>
    <n v="655"/>
    <n v="1474637"/>
    <n v="36"/>
    <n v="14.23"/>
    <x v="4"/>
    <x v="0"/>
    <x v="0"/>
    <n v="46791.05"/>
    <n v="1391189.59"/>
    <x v="0"/>
    <d v="2024-12-02T00:00:00"/>
  </r>
  <r>
    <s v="L00038"/>
    <s v="C10039"/>
    <x v="1"/>
    <n v="43"/>
    <s v="Single"/>
    <s v="Non Graduate"/>
    <x v="1"/>
    <n v="319646"/>
    <n v="778"/>
    <n v="1079683"/>
    <n v="48"/>
    <n v="12.39"/>
    <x v="2"/>
    <x v="3"/>
    <x v="1"/>
    <n v="25280.33"/>
    <n v="234160.99"/>
    <x v="0"/>
    <d v="2025-01-03T00:00:00"/>
  </r>
  <r>
    <s v="L00039"/>
    <s v="C10040"/>
    <x v="0"/>
    <n v="33"/>
    <s v="Married"/>
    <s v="Graduate"/>
    <x v="1"/>
    <n v="897668"/>
    <n v="810"/>
    <n v="1807067"/>
    <n v="240"/>
    <n v="9.4700000000000006"/>
    <x v="4"/>
    <x v="3"/>
    <x v="0"/>
    <n v="8242.48"/>
    <n v="264287.90999999997"/>
    <x v="0"/>
    <d v="2024-04-01T00:00:00"/>
  </r>
  <r>
    <s v="L00040"/>
    <s v="C10041"/>
    <x v="0"/>
    <n v="48"/>
    <s v="Single"/>
    <s v="Non Graduate"/>
    <x v="0"/>
    <n v="903111"/>
    <n v="807"/>
    <n v="1052982"/>
    <n v="120"/>
    <n v="13.29"/>
    <x v="0"/>
    <x v="4"/>
    <x v="0"/>
    <n v="9941.0300000000007"/>
    <n v="542748.18000000005"/>
    <x v="0"/>
    <d v="2024-12-08T00:00:00"/>
  </r>
  <r>
    <s v="L00041"/>
    <s v="C10042"/>
    <x v="0"/>
    <n v="53"/>
    <s v="Single"/>
    <s v="Graduate"/>
    <x v="1"/>
    <n v="1042480"/>
    <n v="840"/>
    <n v="374992"/>
    <n v="120"/>
    <n v="9.61"/>
    <x v="3"/>
    <x v="3"/>
    <x v="0"/>
    <n v="3425.24"/>
    <n v="75996.05"/>
    <x v="0"/>
    <d v="2024-04-03T00:00:00"/>
  </r>
  <r>
    <s v="L00042"/>
    <s v="C10043"/>
    <x v="0"/>
    <n v="29"/>
    <s v="Single"/>
    <s v="Non Graduate"/>
    <x v="1"/>
    <n v="1462379"/>
    <n v="815"/>
    <n v="1705548"/>
    <n v="120"/>
    <n v="14.06"/>
    <x v="2"/>
    <x v="1"/>
    <x v="0"/>
    <n v="16211.23"/>
    <n v="288995.15000000002"/>
    <x v="0"/>
    <d v="2024-03-20T00:00:00"/>
  </r>
  <r>
    <s v="L00043"/>
    <s v="C10044"/>
    <x v="1"/>
    <n v="56"/>
    <s v="Single"/>
    <s v="Non Graduate"/>
    <x v="1"/>
    <n v="716318"/>
    <n v="773"/>
    <n v="1153516"/>
    <n v="24"/>
    <n v="14.01"/>
    <x v="1"/>
    <x v="3"/>
    <x v="0"/>
    <n v="54796.82"/>
    <n v="168072.86"/>
    <x v="0"/>
    <d v="2024-10-25T00:00:00"/>
  </r>
  <r>
    <s v="L00044"/>
    <s v="C10045"/>
    <x v="1"/>
    <n v="35"/>
    <s v="Single"/>
    <s v="Non Graduate"/>
    <x v="0"/>
    <n v="1588684"/>
    <n v="617"/>
    <n v="630497"/>
    <n v="240"/>
    <n v="12.02"/>
    <x v="4"/>
    <x v="0"/>
    <x v="0"/>
    <n v="2942.84"/>
    <n v="489958.43"/>
    <x v="0"/>
    <d v="2024-09-15T00:00:00"/>
  </r>
  <r>
    <s v="L00045"/>
    <s v="C10046"/>
    <x v="0"/>
    <n v="22"/>
    <s v="Single"/>
    <s v="Non Graduate"/>
    <x v="0"/>
    <n v="354699"/>
    <n v="783"/>
    <n v="1457437"/>
    <n v="240"/>
    <n v="9.9"/>
    <x v="2"/>
    <x v="5"/>
    <x v="1"/>
    <n v="6673.85"/>
    <n v="176379.36"/>
    <x v="0"/>
    <d v="2025-01-12T00:00:00"/>
  </r>
  <r>
    <s v="L00046"/>
    <s v="C10047"/>
    <x v="0"/>
    <n v="57"/>
    <s v="Single"/>
    <s v="Non Graduate"/>
    <x v="0"/>
    <n v="1187372"/>
    <n v="793"/>
    <n v="1583210"/>
    <n v="60"/>
    <n v="7.52"/>
    <x v="3"/>
    <x v="3"/>
    <x v="0"/>
    <n v="28371.119999999999"/>
    <n v="871641.9"/>
    <x v="0"/>
    <d v="2025-06-11T00:00:00"/>
  </r>
  <r>
    <s v="L00047"/>
    <s v="C10048"/>
    <x v="1"/>
    <n v="60"/>
    <s v="Married"/>
    <s v="Non Graduate"/>
    <x v="0"/>
    <n v="1968249"/>
    <n v="848"/>
    <n v="957271"/>
    <n v="240"/>
    <n v="8.67"/>
    <x v="2"/>
    <x v="2"/>
    <x v="0"/>
    <n v="4334.4399999999996"/>
    <n v="856061.42"/>
    <x v="0"/>
    <d v="2024-04-12T00:00:00"/>
  </r>
  <r>
    <s v="L00048"/>
    <s v="C10049"/>
    <x v="0"/>
    <n v="32"/>
    <s v="Married"/>
    <s v="Graduate"/>
    <x v="1"/>
    <n v="1638636"/>
    <n v="721"/>
    <n v="397616"/>
    <n v="84"/>
    <n v="12.64"/>
    <x v="1"/>
    <x v="4"/>
    <x v="0"/>
    <n v="5331.84"/>
    <n v="226586.78"/>
    <x v="0"/>
    <d v="2025-09-10T00:00:00"/>
  </r>
  <r>
    <s v="L00049"/>
    <s v="C10050"/>
    <x v="1"/>
    <n v="31"/>
    <s v="Married"/>
    <s v="Graduate"/>
    <x v="1"/>
    <n v="323919"/>
    <n v="677"/>
    <n v="420096"/>
    <n v="48"/>
    <n v="14.9"/>
    <x v="3"/>
    <x v="2"/>
    <x v="1"/>
    <n v="10056.049999999999"/>
    <n v="63888.07"/>
    <x v="0"/>
    <d v="2025-04-27T00:00:00"/>
  </r>
  <r>
    <s v="L00050"/>
    <s v="C10051"/>
    <x v="1"/>
    <n v="40"/>
    <s v="Single"/>
    <s v="Graduate"/>
    <x v="1"/>
    <n v="1071805"/>
    <n v="770"/>
    <n v="387026"/>
    <n v="60"/>
    <n v="10.02"/>
    <x v="2"/>
    <x v="4"/>
    <x v="0"/>
    <n v="7096.77"/>
    <n v="343443.09"/>
    <x v="0"/>
    <d v="2024-08-18T00:00:00"/>
  </r>
  <r>
    <s v="L00051"/>
    <s v="C10052"/>
    <x v="1"/>
    <n v="21"/>
    <s v="Single"/>
    <s v="Non Graduate"/>
    <x v="0"/>
    <n v="344772"/>
    <n v="703"/>
    <n v="1010727"/>
    <n v="24"/>
    <n v="10.61"/>
    <x v="0"/>
    <x v="4"/>
    <x v="1"/>
    <n v="46581.88"/>
    <n v="670756.93000000005"/>
    <x v="0"/>
    <d v="2024-09-10T00:00:00"/>
  </r>
  <r>
    <s v="L00052"/>
    <s v="C10053"/>
    <x v="1"/>
    <n v="55"/>
    <s v="Single"/>
    <s v="Non Graduate"/>
    <x v="0"/>
    <n v="1131399"/>
    <n v="738"/>
    <n v="598484"/>
    <n v="84"/>
    <n v="13.07"/>
    <x v="3"/>
    <x v="5"/>
    <x v="0"/>
    <n v="8056.02"/>
    <n v="355977.19"/>
    <x v="0"/>
    <d v="2024-09-26T00:00:00"/>
  </r>
  <r>
    <s v="L00053"/>
    <s v="C10054"/>
    <x v="0"/>
    <n v="29"/>
    <s v="Married"/>
    <s v="Non Graduate"/>
    <x v="1"/>
    <n v="1086790"/>
    <n v="827"/>
    <n v="1077470"/>
    <n v="240"/>
    <n v="10.46"/>
    <x v="4"/>
    <x v="3"/>
    <x v="0"/>
    <n v="4959.0600000000004"/>
    <n v="522396.52"/>
    <x v="0"/>
    <d v="2025-04-21T00:00:00"/>
  </r>
  <r>
    <s v="L00054"/>
    <s v="C10055"/>
    <x v="1"/>
    <n v="41"/>
    <s v="Single"/>
    <s v="Non Graduate"/>
    <x v="0"/>
    <n v="861627"/>
    <n v="749"/>
    <n v="535265"/>
    <n v="24"/>
    <n v="14.15"/>
    <x v="3"/>
    <x v="2"/>
    <x v="0"/>
    <n v="25458.54"/>
    <n v="393553.69"/>
    <x v="0"/>
    <d v="2025-09-21T00:00:00"/>
  </r>
  <r>
    <s v="L00055"/>
    <s v="C10056"/>
    <x v="1"/>
    <n v="41"/>
    <s v="Married"/>
    <s v="Non Graduate"/>
    <x v="1"/>
    <n v="1392632"/>
    <n v="657"/>
    <n v="1395779"/>
    <n v="180"/>
    <n v="11.25"/>
    <x v="4"/>
    <x v="3"/>
    <x v="0"/>
    <n v="8626.69"/>
    <n v="875464.17"/>
    <x v="0"/>
    <d v="2025-04-24T00:00:00"/>
  </r>
  <r>
    <s v="L00056"/>
    <s v="C10057"/>
    <x v="0"/>
    <n v="54"/>
    <s v="Single"/>
    <s v="Graduate"/>
    <x v="0"/>
    <n v="763644"/>
    <n v="793"/>
    <n v="842228"/>
    <n v="120"/>
    <n v="8.98"/>
    <x v="3"/>
    <x v="5"/>
    <x v="0"/>
    <n v="7648.83"/>
    <n v="779824.45"/>
    <x v="0"/>
    <d v="2025-12-29T00:00:00"/>
  </r>
  <r>
    <s v="L00057"/>
    <s v="C10058"/>
    <x v="1"/>
    <n v="29"/>
    <s v="Married"/>
    <s v="Graduate"/>
    <x v="0"/>
    <n v="798392"/>
    <n v="819"/>
    <n v="1305140"/>
    <n v="24"/>
    <n v="12.2"/>
    <x v="2"/>
    <x v="0"/>
    <x v="0"/>
    <n v="61015.29"/>
    <n v="664966.63"/>
    <x v="0"/>
    <d v="2025-12-03T00:00:00"/>
  </r>
  <r>
    <s v="L00058"/>
    <s v="C10059"/>
    <x v="1"/>
    <n v="36"/>
    <s v="Single"/>
    <s v="Graduate"/>
    <x v="1"/>
    <n v="835182"/>
    <n v="751"/>
    <n v="1866888"/>
    <n v="36"/>
    <n v="8.25"/>
    <x v="3"/>
    <x v="5"/>
    <x v="0"/>
    <n v="56136.29"/>
    <n v="658816.92000000004"/>
    <x v="0"/>
    <d v="2024-06-08T00:00:00"/>
  </r>
  <r>
    <s v="L00059"/>
    <s v="C10060"/>
    <x v="1"/>
    <n v="50"/>
    <s v="Married"/>
    <s v="Graduate"/>
    <x v="1"/>
    <n v="972024"/>
    <n v="711"/>
    <n v="179001"/>
    <n v="36"/>
    <n v="8.7100000000000009"/>
    <x v="4"/>
    <x v="3"/>
    <x v="0"/>
    <n v="5405.33"/>
    <n v="166801.79999999999"/>
    <x v="0"/>
    <d v="2025-04-11T00:00:00"/>
  </r>
  <r>
    <s v="L00060"/>
    <s v="C10061"/>
    <x v="0"/>
    <n v="38"/>
    <s v="Married"/>
    <s v="Non Graduate"/>
    <x v="0"/>
    <n v="775724"/>
    <n v="773"/>
    <n v="1302559"/>
    <n v="36"/>
    <n v="7.57"/>
    <x v="1"/>
    <x v="3"/>
    <x v="0"/>
    <n v="38921.19"/>
    <n v="1002445.36"/>
    <x v="0"/>
    <d v="2024-02-19T00:00:00"/>
  </r>
  <r>
    <s v="L00061"/>
    <s v="C10062"/>
    <x v="1"/>
    <n v="49"/>
    <s v="Married"/>
    <s v="Graduate"/>
    <x v="0"/>
    <n v="1347620"/>
    <n v="592"/>
    <n v="1441525"/>
    <n v="240"/>
    <n v="15.28"/>
    <x v="4"/>
    <x v="1"/>
    <x v="0"/>
    <n v="6924.13"/>
    <n v="805092.22"/>
    <x v="1"/>
    <d v="2025-12-28T00:00:00"/>
  </r>
  <r>
    <s v="L00062"/>
    <s v="C10063"/>
    <x v="0"/>
    <n v="50"/>
    <s v="Married"/>
    <s v="Non Graduate"/>
    <x v="1"/>
    <n v="1110054"/>
    <n v="680"/>
    <n v="1275003"/>
    <n v="120"/>
    <n v="14.59"/>
    <x v="0"/>
    <x v="4"/>
    <x v="0"/>
    <n v="12175.22"/>
    <n v="1109805.5"/>
    <x v="0"/>
    <d v="2025-12-11T00:00:00"/>
  </r>
  <r>
    <s v="L00063"/>
    <s v="C10064"/>
    <x v="1"/>
    <n v="27"/>
    <s v="Single"/>
    <s v="Non Graduate"/>
    <x v="1"/>
    <n v="1511152"/>
    <n v="773"/>
    <n v="1574356"/>
    <n v="240"/>
    <n v="8.5399999999999991"/>
    <x v="3"/>
    <x v="5"/>
    <x v="0"/>
    <n v="7120.03"/>
    <n v="1102598.5900000001"/>
    <x v="0"/>
    <d v="2025-11-17T00:00:00"/>
  </r>
  <r>
    <s v="L00064"/>
    <s v="C10065"/>
    <x v="0"/>
    <n v="27"/>
    <s v="Married"/>
    <s v="Non Graduate"/>
    <x v="1"/>
    <n v="1365435"/>
    <n v="649"/>
    <n v="147306"/>
    <n v="48"/>
    <n v="11.54"/>
    <x v="0"/>
    <x v="0"/>
    <x v="0"/>
    <n v="3423.02"/>
    <n v="79613.919999999998"/>
    <x v="0"/>
    <d v="2024-10-30T00:00:00"/>
  </r>
  <r>
    <s v="L00065"/>
    <s v="C10066"/>
    <x v="1"/>
    <n v="49"/>
    <s v="Married"/>
    <s v="Non Graduate"/>
    <x v="1"/>
    <n v="469141"/>
    <n v="584"/>
    <n v="740145"/>
    <n v="24"/>
    <n v="7.91"/>
    <x v="3"/>
    <x v="1"/>
    <x v="1"/>
    <n v="33278.769999999997"/>
    <n v="607886.52"/>
    <x v="0"/>
    <d v="2024-10-21T00:00:00"/>
  </r>
  <r>
    <s v="L00066"/>
    <s v="C10067"/>
    <x v="0"/>
    <n v="42"/>
    <s v="Married"/>
    <s v="Graduate"/>
    <x v="1"/>
    <n v="1192930"/>
    <n v="638"/>
    <n v="1975218"/>
    <n v="120"/>
    <n v="10.58"/>
    <x v="1"/>
    <x v="0"/>
    <x v="0"/>
    <n v="18201.63"/>
    <n v="501792.13"/>
    <x v="0"/>
    <d v="2024-01-20T00:00:00"/>
  </r>
  <r>
    <s v="L00067"/>
    <s v="C10068"/>
    <x v="1"/>
    <n v="38"/>
    <s v="Single"/>
    <s v="Graduate"/>
    <x v="0"/>
    <n v="1997586"/>
    <n v="675"/>
    <n v="1648142"/>
    <n v="180"/>
    <n v="15.1"/>
    <x v="1"/>
    <x v="3"/>
    <x v="0"/>
    <n v="10538.95"/>
    <n v="1441097.9"/>
    <x v="0"/>
    <d v="2024-11-21T00:00:00"/>
  </r>
  <r>
    <s v="L00068"/>
    <s v="C10069"/>
    <x v="1"/>
    <n v="55"/>
    <s v="Married"/>
    <s v="Non Graduate"/>
    <x v="0"/>
    <n v="693880"/>
    <n v="588"/>
    <n v="1935076"/>
    <n v="120"/>
    <n v="14.94"/>
    <x v="4"/>
    <x v="2"/>
    <x v="1"/>
    <n v="18534.8"/>
    <n v="299799.49"/>
    <x v="0"/>
    <d v="2024-06-28T00:00:00"/>
  </r>
  <r>
    <s v="L00069"/>
    <s v="C10070"/>
    <x v="1"/>
    <n v="26"/>
    <s v="Married"/>
    <s v="Non Graduate"/>
    <x v="0"/>
    <n v="671628"/>
    <n v="637"/>
    <n v="1885415"/>
    <n v="12"/>
    <n v="8.7100000000000009"/>
    <x v="2"/>
    <x v="5"/>
    <x v="1"/>
    <n v="170802.89"/>
    <n v="1072428.49"/>
    <x v="0"/>
    <d v="2025-03-06T00:00:00"/>
  </r>
  <r>
    <s v="L00070"/>
    <s v="C10071"/>
    <x v="0"/>
    <n v="32"/>
    <s v="Single"/>
    <s v="Graduate"/>
    <x v="0"/>
    <n v="1671726"/>
    <n v="668"/>
    <n v="971452"/>
    <n v="60"/>
    <n v="9.9700000000000006"/>
    <x v="0"/>
    <x v="5"/>
    <x v="0"/>
    <n v="17805.099999999999"/>
    <n v="845669.6"/>
    <x v="0"/>
    <d v="2025-04-16T00:00:00"/>
  </r>
  <r>
    <s v="L00071"/>
    <s v="C10072"/>
    <x v="1"/>
    <n v="38"/>
    <s v="Married"/>
    <s v="Non Graduate"/>
    <x v="1"/>
    <n v="1456112"/>
    <n v="793"/>
    <n v="301167"/>
    <n v="60"/>
    <n v="13.05"/>
    <x v="4"/>
    <x v="2"/>
    <x v="0"/>
    <n v="5674.49"/>
    <n v="198403.64"/>
    <x v="0"/>
    <d v="2025-07-11T00:00:00"/>
  </r>
  <r>
    <s v="L00072"/>
    <s v="C10073"/>
    <x v="1"/>
    <n v="49"/>
    <s v="Single"/>
    <s v="Non Graduate"/>
    <x v="1"/>
    <n v="962656"/>
    <n v="562"/>
    <n v="1733605"/>
    <n v="48"/>
    <n v="15.4"/>
    <x v="3"/>
    <x v="0"/>
    <x v="0"/>
    <n v="41678.75"/>
    <n v="834699.07"/>
    <x v="1"/>
    <d v="2024-10-19T00:00:00"/>
  </r>
  <r>
    <s v="L00073"/>
    <s v="C10074"/>
    <x v="1"/>
    <n v="51"/>
    <s v="Married"/>
    <s v="Non Graduate"/>
    <x v="1"/>
    <n v="1204230"/>
    <n v="668"/>
    <n v="1722787"/>
    <n v="36"/>
    <n v="9.7100000000000009"/>
    <x v="1"/>
    <x v="4"/>
    <x v="0"/>
    <n v="52501.93"/>
    <n v="1259663.45"/>
    <x v="0"/>
    <d v="2025-10-30T00:00:00"/>
  </r>
  <r>
    <s v="L00074"/>
    <s v="C10075"/>
    <x v="1"/>
    <n v="55"/>
    <s v="Single"/>
    <s v="Graduate"/>
    <x v="0"/>
    <n v="586841"/>
    <n v="833"/>
    <n v="363255"/>
    <n v="60"/>
    <n v="13.18"/>
    <x v="4"/>
    <x v="2"/>
    <x v="0"/>
    <n v="6852.2"/>
    <n v="260621.26"/>
    <x v="0"/>
    <d v="2025-04-25T00:00:00"/>
  </r>
  <r>
    <s v="L00075"/>
    <s v="C10076"/>
    <x v="1"/>
    <n v="46"/>
    <s v="Single"/>
    <s v="Non Graduate"/>
    <x v="1"/>
    <n v="893693"/>
    <n v="822"/>
    <n v="1002075"/>
    <n v="60"/>
    <n v="15.24"/>
    <x v="4"/>
    <x v="1"/>
    <x v="0"/>
    <n v="19246.52"/>
    <n v="595228.22"/>
    <x v="0"/>
    <d v="2025-08-16T00:00:00"/>
  </r>
  <r>
    <s v="L00076"/>
    <s v="C10077"/>
    <x v="1"/>
    <n v="22"/>
    <s v="Single"/>
    <s v="Graduate"/>
    <x v="0"/>
    <n v="1735740"/>
    <n v="796"/>
    <n v="1635912"/>
    <n v="84"/>
    <n v="11.94"/>
    <x v="0"/>
    <x v="3"/>
    <x v="0"/>
    <n v="21800.47"/>
    <n v="1440249.44"/>
    <x v="0"/>
    <d v="2025-05-16T00:00:00"/>
  </r>
  <r>
    <s v="L00077"/>
    <s v="C10078"/>
    <x v="0"/>
    <n v="24"/>
    <s v="Married"/>
    <s v="Graduate"/>
    <x v="0"/>
    <n v="1359190"/>
    <n v="806"/>
    <n v="937981"/>
    <n v="240"/>
    <n v="10.9"/>
    <x v="2"/>
    <x v="5"/>
    <x v="0"/>
    <n v="4334.25"/>
    <n v="265193.77"/>
    <x v="0"/>
    <d v="2025-05-24T00:00:00"/>
  </r>
  <r>
    <s v="L00078"/>
    <s v="C10079"/>
    <x v="1"/>
    <n v="46"/>
    <s v="Single"/>
    <s v="Non Graduate"/>
    <x v="0"/>
    <n v="1538284"/>
    <n v="744"/>
    <n v="1498345"/>
    <n v="12"/>
    <n v="7.88"/>
    <x v="0"/>
    <x v="0"/>
    <x v="0"/>
    <n v="134701.22"/>
    <n v="1247817.6000000001"/>
    <x v="0"/>
    <d v="2024-08-05T00:00:00"/>
  </r>
  <r>
    <s v="L00079"/>
    <s v="C10080"/>
    <x v="1"/>
    <n v="37"/>
    <s v="Single"/>
    <s v="Graduate"/>
    <x v="1"/>
    <n v="812730"/>
    <n v="661"/>
    <n v="842563"/>
    <n v="60"/>
    <n v="11.7"/>
    <x v="2"/>
    <x v="1"/>
    <x v="0"/>
    <n v="15685.71"/>
    <n v="280672.15000000002"/>
    <x v="0"/>
    <d v="2024-07-06T00:00:00"/>
  </r>
  <r>
    <s v="L00080"/>
    <s v="C10081"/>
    <x v="0"/>
    <n v="46"/>
    <s v="Married"/>
    <s v="Non Graduate"/>
    <x v="1"/>
    <n v="1696721"/>
    <n v="612"/>
    <n v="1137761"/>
    <n v="48"/>
    <n v="10.78"/>
    <x v="2"/>
    <x v="3"/>
    <x v="0"/>
    <n v="26258.58"/>
    <n v="712064.5"/>
    <x v="0"/>
    <d v="2025-03-20T00:00:00"/>
  </r>
  <r>
    <s v="L00081"/>
    <s v="C10082"/>
    <x v="1"/>
    <n v="23"/>
    <s v="Single"/>
    <s v="Graduate"/>
    <x v="0"/>
    <n v="404122"/>
    <n v="770"/>
    <n v="472834"/>
    <n v="36"/>
    <n v="13.31"/>
    <x v="2"/>
    <x v="0"/>
    <x v="0"/>
    <n v="14882.45"/>
    <n v="311998.53000000003"/>
    <x v="0"/>
    <d v="2025-09-21T00:00:00"/>
  </r>
  <r>
    <s v="L00082"/>
    <s v="C10083"/>
    <x v="1"/>
    <n v="27"/>
    <s v="Married"/>
    <s v="Graduate"/>
    <x v="0"/>
    <n v="691402"/>
    <n v="699"/>
    <n v="454673"/>
    <n v="240"/>
    <n v="12.02"/>
    <x v="2"/>
    <x v="0"/>
    <x v="0"/>
    <n v="2122.19"/>
    <n v="307140.51"/>
    <x v="0"/>
    <d v="2024-12-07T00:00:00"/>
  </r>
  <r>
    <s v="L00083"/>
    <s v="C10084"/>
    <x v="1"/>
    <n v="53"/>
    <s v="Single"/>
    <s v="Non Graduate"/>
    <x v="0"/>
    <n v="436398"/>
    <n v="674"/>
    <n v="106473"/>
    <n v="24"/>
    <n v="13.92"/>
    <x v="1"/>
    <x v="2"/>
    <x v="0"/>
    <n v="5053.92"/>
    <n v="73496.34"/>
    <x v="0"/>
    <d v="2025-08-15T00:00:00"/>
  </r>
  <r>
    <s v="L00084"/>
    <s v="C10085"/>
    <x v="0"/>
    <n v="52"/>
    <s v="Single"/>
    <s v="Non Graduate"/>
    <x v="1"/>
    <n v="1137562"/>
    <n v="727"/>
    <n v="1577301"/>
    <n v="12"/>
    <n v="12.95"/>
    <x v="0"/>
    <x v="4"/>
    <x v="0"/>
    <n v="148463.46"/>
    <n v="456781.04"/>
    <x v="0"/>
    <d v="2025-09-11T00:00:00"/>
  </r>
  <r>
    <s v="L00085"/>
    <s v="C10086"/>
    <x v="1"/>
    <n v="59"/>
    <s v="Single"/>
    <s v="Non Graduate"/>
    <x v="0"/>
    <n v="1545651"/>
    <n v="563"/>
    <n v="1788593"/>
    <n v="84"/>
    <n v="9.2100000000000009"/>
    <x v="0"/>
    <x v="4"/>
    <x v="1"/>
    <n v="23253.84"/>
    <n v="693130.65"/>
    <x v="0"/>
    <d v="2025-09-06T00:00:00"/>
  </r>
  <r>
    <s v="L00086"/>
    <s v="C10087"/>
    <x v="1"/>
    <n v="43"/>
    <s v="Married"/>
    <s v="Non Graduate"/>
    <x v="1"/>
    <n v="1126848"/>
    <n v="680"/>
    <n v="1044350"/>
    <n v="36"/>
    <n v="10.27"/>
    <x v="3"/>
    <x v="1"/>
    <x v="0"/>
    <n v="31989.02"/>
    <n v="737003.9"/>
    <x v="0"/>
    <d v="2025-08-18T00:00:00"/>
  </r>
  <r>
    <s v="L00087"/>
    <s v="C10088"/>
    <x v="1"/>
    <n v="33"/>
    <s v="Married"/>
    <s v="Graduate"/>
    <x v="1"/>
    <n v="914038"/>
    <n v="749"/>
    <n v="1171684"/>
    <n v="36"/>
    <n v="13.44"/>
    <x v="0"/>
    <x v="1"/>
    <x v="0"/>
    <n v="36921.06"/>
    <n v="815689.29"/>
    <x v="0"/>
    <d v="2024-04-06T00:00:00"/>
  </r>
  <r>
    <s v="L00088"/>
    <s v="C10089"/>
    <x v="0"/>
    <n v="53"/>
    <s v="Married"/>
    <s v="Graduate"/>
    <x v="1"/>
    <n v="441946"/>
    <n v="685"/>
    <n v="645582"/>
    <n v="36"/>
    <n v="10.119999999999999"/>
    <x v="1"/>
    <x v="3"/>
    <x v="0"/>
    <n v="19747.64"/>
    <n v="134072.95000000001"/>
    <x v="0"/>
    <d v="2025-08-05T00:00:00"/>
  </r>
  <r>
    <s v="L00089"/>
    <s v="C10090"/>
    <x v="0"/>
    <n v="48"/>
    <s v="Married"/>
    <s v="Non Graduate"/>
    <x v="0"/>
    <n v="281749"/>
    <n v="633"/>
    <n v="1109727"/>
    <n v="84"/>
    <n v="7.7"/>
    <x v="2"/>
    <x v="1"/>
    <x v="1"/>
    <n v="14228.29"/>
    <n v="242776.06"/>
    <x v="0"/>
    <d v="2024-11-21T00:00:00"/>
  </r>
  <r>
    <s v="L00090"/>
    <s v="C10091"/>
    <x v="0"/>
    <n v="31"/>
    <s v="Single"/>
    <s v="Graduate"/>
    <x v="1"/>
    <n v="1180700"/>
    <n v="610"/>
    <n v="684476"/>
    <n v="12"/>
    <n v="8.15"/>
    <x v="0"/>
    <x v="3"/>
    <x v="0"/>
    <n v="61688.4"/>
    <n v="82451.070000000007"/>
    <x v="1"/>
    <d v="2024-06-11T00:00:00"/>
  </r>
  <r>
    <s v="L00091"/>
    <s v="C10092"/>
    <x v="1"/>
    <n v="35"/>
    <s v="Single"/>
    <s v="Graduate"/>
    <x v="0"/>
    <n v="1936424"/>
    <n v="702"/>
    <n v="431183"/>
    <n v="60"/>
    <n v="13.43"/>
    <x v="1"/>
    <x v="0"/>
    <x v="0"/>
    <n v="8151.51"/>
    <n v="158619.60999999999"/>
    <x v="0"/>
    <d v="2024-01-02T00:00:00"/>
  </r>
  <r>
    <s v="L00092"/>
    <s v="C10093"/>
    <x v="0"/>
    <n v="56"/>
    <s v="Married"/>
    <s v="Non Graduate"/>
    <x v="0"/>
    <n v="376555"/>
    <n v="657"/>
    <n v="967248"/>
    <n v="12"/>
    <n v="13.25"/>
    <x v="3"/>
    <x v="4"/>
    <x v="1"/>
    <n v="91284.03"/>
    <n v="745832.09"/>
    <x v="0"/>
    <d v="2024-02-06T00:00:00"/>
  </r>
  <r>
    <s v="L00093"/>
    <s v="C10094"/>
    <x v="0"/>
    <n v="49"/>
    <s v="Married"/>
    <s v="Graduate"/>
    <x v="0"/>
    <n v="413382"/>
    <n v="698"/>
    <n v="1390474"/>
    <n v="84"/>
    <n v="14.23"/>
    <x v="3"/>
    <x v="4"/>
    <x v="0"/>
    <n v="18908.79"/>
    <n v="407914.62"/>
    <x v="0"/>
    <d v="2024-12-09T00:00:00"/>
  </r>
  <r>
    <s v="L00094"/>
    <s v="C10095"/>
    <x v="1"/>
    <n v="34"/>
    <s v="Married"/>
    <s v="Non Graduate"/>
    <x v="1"/>
    <n v="1108140"/>
    <n v="802"/>
    <n v="101948"/>
    <n v="240"/>
    <n v="14.78"/>
    <x v="2"/>
    <x v="5"/>
    <x v="0"/>
    <n v="487.57"/>
    <n v="27178.19"/>
    <x v="0"/>
    <d v="2025-04-07T00:00:00"/>
  </r>
  <r>
    <s v="L00095"/>
    <s v="C10096"/>
    <x v="0"/>
    <n v="30"/>
    <s v="Single"/>
    <s v="Graduate"/>
    <x v="1"/>
    <n v="518681"/>
    <n v="619"/>
    <n v="1055066"/>
    <n v="48"/>
    <n v="10.91"/>
    <x v="3"/>
    <x v="0"/>
    <x v="1"/>
    <n v="24378.62"/>
    <n v="912578.61"/>
    <x v="0"/>
    <d v="2025-08-23T00:00:00"/>
  </r>
  <r>
    <s v="L00096"/>
    <s v="C10097"/>
    <x v="1"/>
    <n v="45"/>
    <s v="Married"/>
    <s v="Non Graduate"/>
    <x v="0"/>
    <n v="417762"/>
    <n v="850"/>
    <n v="1947577"/>
    <n v="36"/>
    <n v="10.25"/>
    <x v="1"/>
    <x v="1"/>
    <x v="0"/>
    <n v="59644.55"/>
    <n v="1421503.49"/>
    <x v="0"/>
    <d v="2025-08-27T00:00:00"/>
  </r>
  <r>
    <s v="L00097"/>
    <s v="C10098"/>
    <x v="1"/>
    <n v="51"/>
    <s v="Married"/>
    <s v="Graduate"/>
    <x v="1"/>
    <n v="669188"/>
    <n v="571"/>
    <n v="1832157"/>
    <n v="48"/>
    <n v="10.49"/>
    <x v="1"/>
    <x v="1"/>
    <x v="0"/>
    <n v="42173.96"/>
    <n v="1087888.56"/>
    <x v="1"/>
    <d v="2024-05-03T00:00:00"/>
  </r>
  <r>
    <s v="L00098"/>
    <s v="C10099"/>
    <x v="0"/>
    <n v="27"/>
    <s v="Single"/>
    <s v="Non Graduate"/>
    <x v="0"/>
    <n v="441619"/>
    <n v="809"/>
    <n v="775166"/>
    <n v="36"/>
    <n v="10.01"/>
    <x v="2"/>
    <x v="2"/>
    <x v="0"/>
    <n v="23687.78"/>
    <n v="656478.09"/>
    <x v="0"/>
    <d v="2025-07-13T00:00:00"/>
  </r>
  <r>
    <s v="L00099"/>
    <s v="C10100"/>
    <x v="0"/>
    <n v="48"/>
    <s v="Single"/>
    <s v="Non Graduate"/>
    <x v="0"/>
    <n v="1711306"/>
    <n v="757"/>
    <n v="568035"/>
    <n v="48"/>
    <n v="9.09"/>
    <x v="4"/>
    <x v="2"/>
    <x v="0"/>
    <n v="12909.78"/>
    <n v="117433.69"/>
    <x v="0"/>
    <d v="2024-05-11T00:00:00"/>
  </r>
  <r>
    <s v="L00100"/>
    <s v="C10101"/>
    <x v="1"/>
    <n v="33"/>
    <s v="Married"/>
    <s v="Graduate"/>
    <x v="1"/>
    <n v="1679723"/>
    <n v="740"/>
    <n v="1216550"/>
    <n v="12"/>
    <n v="15.11"/>
    <x v="3"/>
    <x v="0"/>
    <x v="0"/>
    <n v="116697.56"/>
    <n v="283600.78999999998"/>
    <x v="0"/>
    <d v="2025-03-03T00:00:00"/>
  </r>
  <r>
    <s v="L00101"/>
    <s v="C10102"/>
    <x v="0"/>
    <n v="50"/>
    <s v="Single"/>
    <s v="Graduate"/>
    <x v="1"/>
    <n v="412280"/>
    <n v="642"/>
    <n v="1652687"/>
    <n v="60"/>
    <n v="10"/>
    <x v="3"/>
    <x v="4"/>
    <x v="1"/>
    <n v="30299.26"/>
    <n v="515176.6"/>
    <x v="0"/>
    <d v="2024-04-10T00:00:00"/>
  </r>
  <r>
    <s v="L00102"/>
    <s v="C10103"/>
    <x v="0"/>
    <n v="51"/>
    <s v="Single"/>
    <s v="Non Graduate"/>
    <x v="0"/>
    <n v="434183"/>
    <n v="747"/>
    <n v="140473"/>
    <n v="36"/>
    <n v="12.26"/>
    <x v="1"/>
    <x v="0"/>
    <x v="0"/>
    <n v="4380.42"/>
    <n v="32566.38"/>
    <x v="0"/>
    <d v="2025-02-10T00:00:00"/>
  </r>
  <r>
    <s v="L00103"/>
    <s v="C10104"/>
    <x v="0"/>
    <n v="34"/>
    <s v="Single"/>
    <s v="Graduate"/>
    <x v="0"/>
    <n v="798475"/>
    <n v="678"/>
    <n v="173500"/>
    <n v="24"/>
    <n v="9.0399999999999991"/>
    <x v="2"/>
    <x v="0"/>
    <x v="0"/>
    <n v="7882.68"/>
    <n v="62809.21"/>
    <x v="0"/>
    <d v="2024-05-24T00:00:00"/>
  </r>
  <r>
    <s v="L00104"/>
    <s v="C10105"/>
    <x v="1"/>
    <n v="48"/>
    <s v="Single"/>
    <s v="Graduate"/>
    <x v="1"/>
    <n v="483648"/>
    <n v="610"/>
    <n v="1517996"/>
    <n v="12"/>
    <n v="10.81"/>
    <x v="1"/>
    <x v="2"/>
    <x v="1"/>
    <n v="140174.28"/>
    <n v="1340460.4099999999"/>
    <x v="0"/>
    <d v="2024-09-04T00:00:00"/>
  </r>
  <r>
    <s v="L00105"/>
    <s v="C10106"/>
    <x v="0"/>
    <n v="29"/>
    <s v="Married"/>
    <s v="Non Graduate"/>
    <x v="0"/>
    <n v="744830"/>
    <n v="810"/>
    <n v="303433"/>
    <n v="36"/>
    <n v="9.5500000000000007"/>
    <x v="0"/>
    <x v="3"/>
    <x v="0"/>
    <n v="9233.6299999999992"/>
    <n v="292208.59000000003"/>
    <x v="0"/>
    <d v="2024-08-03T00:00:00"/>
  </r>
  <r>
    <s v="L00106"/>
    <s v="C10107"/>
    <x v="1"/>
    <n v="22"/>
    <s v="Single"/>
    <s v="Graduate"/>
    <x v="0"/>
    <n v="1712148"/>
    <n v="848"/>
    <n v="1744642"/>
    <n v="84"/>
    <n v="12.87"/>
    <x v="1"/>
    <x v="0"/>
    <x v="0"/>
    <n v="23442.59"/>
    <n v="1381219.97"/>
    <x v="0"/>
    <d v="2025-04-22T00:00:00"/>
  </r>
  <r>
    <s v="L00107"/>
    <s v="C10108"/>
    <x v="1"/>
    <n v="27"/>
    <s v="Single"/>
    <s v="Non Graduate"/>
    <x v="1"/>
    <n v="1761152"/>
    <n v="702"/>
    <n v="900742"/>
    <n v="60"/>
    <n v="13.43"/>
    <x v="4"/>
    <x v="1"/>
    <x v="0"/>
    <n v="17028.53"/>
    <n v="206630.76"/>
    <x v="0"/>
    <d v="2024-09-23T00:00:00"/>
  </r>
  <r>
    <s v="L00108"/>
    <s v="C10109"/>
    <x v="1"/>
    <n v="44"/>
    <s v="Married"/>
    <s v="Graduate"/>
    <x v="0"/>
    <n v="383044"/>
    <n v="746"/>
    <n v="1767538"/>
    <n v="48"/>
    <n v="10.44"/>
    <x v="2"/>
    <x v="1"/>
    <x v="0"/>
    <n v="40668.1"/>
    <n v="287777.96999999997"/>
    <x v="0"/>
    <d v="2025-11-18T00:00:00"/>
  </r>
  <r>
    <s v="L00109"/>
    <s v="C10110"/>
    <x v="1"/>
    <n v="59"/>
    <s v="Single"/>
    <s v="Graduate"/>
    <x v="0"/>
    <n v="1750614"/>
    <n v="658"/>
    <n v="1245591"/>
    <n v="12"/>
    <n v="14.99"/>
    <x v="3"/>
    <x v="5"/>
    <x v="0"/>
    <n v="119358.76"/>
    <n v="538959.35"/>
    <x v="0"/>
    <d v="2025-01-01T00:00:00"/>
  </r>
  <r>
    <s v="L00110"/>
    <s v="C10111"/>
    <x v="1"/>
    <n v="26"/>
    <s v="Married"/>
    <s v="Graduate"/>
    <x v="0"/>
    <n v="313620"/>
    <n v="780"/>
    <n v="606913"/>
    <n v="48"/>
    <n v="10.69"/>
    <x v="4"/>
    <x v="3"/>
    <x v="1"/>
    <n v="13995.67"/>
    <n v="210808.5"/>
    <x v="0"/>
    <d v="2025-06-13T00:00:00"/>
  </r>
  <r>
    <s v="L00111"/>
    <s v="C10112"/>
    <x v="0"/>
    <n v="59"/>
    <s v="Single"/>
    <s v="Non Graduate"/>
    <x v="1"/>
    <n v="1393598"/>
    <n v="657"/>
    <n v="1214917"/>
    <n v="84"/>
    <n v="10.27"/>
    <x v="2"/>
    <x v="2"/>
    <x v="0"/>
    <n v="15948.68"/>
    <n v="516756.34"/>
    <x v="0"/>
    <d v="2024-09-13T00:00:00"/>
  </r>
  <r>
    <s v="L00112"/>
    <s v="C10113"/>
    <x v="0"/>
    <n v="51"/>
    <s v="Single"/>
    <s v="Graduate"/>
    <x v="0"/>
    <n v="585022"/>
    <n v="587"/>
    <n v="1246302"/>
    <n v="36"/>
    <n v="13.4"/>
    <x v="4"/>
    <x v="0"/>
    <x v="1"/>
    <n v="39258.51"/>
    <n v="424657.67"/>
    <x v="0"/>
    <d v="2025-02-24T00:00:00"/>
  </r>
  <r>
    <s v="L00113"/>
    <s v="C10114"/>
    <x v="0"/>
    <n v="48"/>
    <s v="Single"/>
    <s v="Graduate"/>
    <x v="0"/>
    <n v="1737931"/>
    <n v="551"/>
    <n v="1455417"/>
    <n v="24"/>
    <n v="12.89"/>
    <x v="0"/>
    <x v="1"/>
    <x v="0"/>
    <n v="68459.179999999993"/>
    <n v="564801.63"/>
    <x v="1"/>
    <d v="2025-11-23T00:00:00"/>
  </r>
  <r>
    <s v="L00114"/>
    <s v="C10115"/>
    <x v="1"/>
    <n v="25"/>
    <s v="Single"/>
    <s v="Graduate"/>
    <x v="1"/>
    <n v="699907"/>
    <n v="831"/>
    <n v="418837"/>
    <n v="240"/>
    <n v="12.19"/>
    <x v="1"/>
    <x v="5"/>
    <x v="0"/>
    <n v="1957.89"/>
    <n v="353249.11"/>
    <x v="0"/>
    <d v="2024-08-09T00:00:00"/>
  </r>
  <r>
    <s v="L00115"/>
    <s v="C10116"/>
    <x v="0"/>
    <n v="33"/>
    <s v="Single"/>
    <s v="Non Graduate"/>
    <x v="0"/>
    <n v="1725536"/>
    <n v="850"/>
    <n v="363408"/>
    <n v="36"/>
    <n v="12"/>
    <x v="2"/>
    <x v="4"/>
    <x v="0"/>
    <n v="11306.03"/>
    <n v="138071.43"/>
    <x v="0"/>
    <d v="2024-05-26T00:00:00"/>
  </r>
  <r>
    <s v="L00116"/>
    <s v="C10117"/>
    <x v="1"/>
    <n v="28"/>
    <s v="Single"/>
    <s v="Graduate"/>
    <x v="0"/>
    <n v="1876613"/>
    <n v="665"/>
    <n v="243175"/>
    <n v="60"/>
    <n v="10.32"/>
    <x v="2"/>
    <x v="0"/>
    <x v="0"/>
    <n v="4471.18"/>
    <n v="27539.68"/>
    <x v="0"/>
    <d v="2024-01-03T00:00:00"/>
  </r>
  <r>
    <s v="L00117"/>
    <s v="C10118"/>
    <x v="0"/>
    <n v="39"/>
    <s v="Married"/>
    <s v="Graduate"/>
    <x v="1"/>
    <n v="1531229"/>
    <n v="808"/>
    <n v="1898144"/>
    <n v="36"/>
    <n v="11.12"/>
    <x v="1"/>
    <x v="3"/>
    <x v="0"/>
    <n v="58589.38"/>
    <n v="1015654.11"/>
    <x v="0"/>
    <d v="2025-06-25T00:00:00"/>
  </r>
  <r>
    <s v="L00118"/>
    <s v="C10119"/>
    <x v="0"/>
    <n v="43"/>
    <s v="Single"/>
    <s v="Non Graduate"/>
    <x v="1"/>
    <n v="1366162"/>
    <n v="680"/>
    <n v="144842"/>
    <n v="120"/>
    <n v="7.68"/>
    <x v="3"/>
    <x v="2"/>
    <x v="0"/>
    <n v="1299.72"/>
    <n v="79679.7"/>
    <x v="0"/>
    <d v="2024-02-18T00:00:00"/>
  </r>
  <r>
    <s v="L00119"/>
    <s v="C10120"/>
    <x v="1"/>
    <n v="54"/>
    <s v="Married"/>
    <s v="Graduate"/>
    <x v="1"/>
    <n v="1064142"/>
    <n v="577"/>
    <n v="902596"/>
    <n v="84"/>
    <n v="14.12"/>
    <x v="0"/>
    <x v="1"/>
    <x v="0"/>
    <n v="12262.41"/>
    <n v="489867.85"/>
    <x v="1"/>
    <d v="2024-02-05T00:00:00"/>
  </r>
  <r>
    <s v="L00120"/>
    <s v="C10121"/>
    <x v="1"/>
    <n v="51"/>
    <s v="Single"/>
    <s v="Graduate"/>
    <x v="1"/>
    <n v="617682"/>
    <n v="721"/>
    <n v="202194"/>
    <n v="12"/>
    <n v="14.35"/>
    <x v="2"/>
    <x v="3"/>
    <x v="0"/>
    <n v="19267.400000000001"/>
    <n v="87572.43"/>
    <x v="0"/>
    <d v="2024-11-16T00:00:00"/>
  </r>
  <r>
    <s v="L00121"/>
    <s v="C10122"/>
    <x v="0"/>
    <n v="46"/>
    <s v="Married"/>
    <s v="Graduate"/>
    <x v="1"/>
    <n v="654282"/>
    <n v="755"/>
    <n v="1163996"/>
    <n v="180"/>
    <n v="11.75"/>
    <x v="4"/>
    <x v="4"/>
    <x v="0"/>
    <n v="7226.48"/>
    <n v="807098.22"/>
    <x v="0"/>
    <d v="2025-03-06T00:00:00"/>
  </r>
  <r>
    <s v="L00122"/>
    <s v="C10123"/>
    <x v="1"/>
    <n v="36"/>
    <s v="Married"/>
    <s v="Graduate"/>
    <x v="0"/>
    <n v="1388478"/>
    <n v="620"/>
    <n v="1935583"/>
    <n v="24"/>
    <n v="13.34"/>
    <x v="0"/>
    <x v="5"/>
    <x v="1"/>
    <n v="91407.91"/>
    <n v="359080.12"/>
    <x v="0"/>
    <d v="2025-06-18T00:00:00"/>
  </r>
  <r>
    <s v="L00123"/>
    <s v="C10124"/>
    <x v="1"/>
    <n v="56"/>
    <s v="Married"/>
    <s v="Non Graduate"/>
    <x v="1"/>
    <n v="906852"/>
    <n v="568"/>
    <n v="1994016"/>
    <n v="12"/>
    <n v="12.58"/>
    <x v="2"/>
    <x v="4"/>
    <x v="1"/>
    <n v="187071.93"/>
    <n v="1554215.77"/>
    <x v="0"/>
    <d v="2024-01-20T00:00:00"/>
  </r>
  <r>
    <s v="L00124"/>
    <s v="C10125"/>
    <x v="1"/>
    <n v="49"/>
    <s v="Single"/>
    <s v="Non Graduate"/>
    <x v="0"/>
    <n v="778211"/>
    <n v="807"/>
    <n v="508983"/>
    <n v="24"/>
    <n v="13.04"/>
    <x v="1"/>
    <x v="3"/>
    <x v="0"/>
    <n v="23973.1"/>
    <n v="150381.56"/>
    <x v="0"/>
    <d v="2025-02-06T00:00:00"/>
  </r>
  <r>
    <s v="L00125"/>
    <s v="C10126"/>
    <x v="0"/>
    <n v="22"/>
    <s v="Single"/>
    <s v="Non Graduate"/>
    <x v="0"/>
    <n v="445176"/>
    <n v="642"/>
    <n v="1265217"/>
    <n v="240"/>
    <n v="14.17"/>
    <x v="4"/>
    <x v="4"/>
    <x v="1"/>
    <n v="6018.74"/>
    <n v="1061430.2"/>
    <x v="0"/>
    <d v="2024-05-04T00:00:00"/>
  </r>
  <r>
    <s v="L00126"/>
    <s v="C10127"/>
    <x v="1"/>
    <n v="44"/>
    <s v="Single"/>
    <s v="Non Graduate"/>
    <x v="0"/>
    <n v="1429170"/>
    <n v="638"/>
    <n v="187863"/>
    <n v="60"/>
    <n v="9.4700000000000006"/>
    <x v="1"/>
    <x v="2"/>
    <x v="0"/>
    <n v="3427.56"/>
    <n v="77233.539999999994"/>
    <x v="0"/>
    <d v="2024-02-02T00:00:00"/>
  </r>
  <r>
    <s v="L00127"/>
    <s v="C10128"/>
    <x v="0"/>
    <n v="44"/>
    <s v="Single"/>
    <s v="Non Graduate"/>
    <x v="1"/>
    <n v="797116"/>
    <n v="640"/>
    <n v="1998177"/>
    <n v="84"/>
    <n v="15.23"/>
    <x v="2"/>
    <x v="1"/>
    <x v="1"/>
    <n v="27410.71"/>
    <n v="1727412.04"/>
    <x v="0"/>
    <d v="2024-08-28T00:00:00"/>
  </r>
  <r>
    <s v="L00128"/>
    <s v="C10129"/>
    <x v="0"/>
    <n v="59"/>
    <s v="Married"/>
    <s v="Non Graduate"/>
    <x v="1"/>
    <n v="1269826"/>
    <n v="595"/>
    <n v="355802"/>
    <n v="48"/>
    <n v="8.32"/>
    <x v="2"/>
    <x v="5"/>
    <x v="1"/>
    <n v="8029.27"/>
    <n v="80417.009999999995"/>
    <x v="0"/>
    <d v="2024-01-17T00:00:00"/>
  </r>
  <r>
    <s v="L00129"/>
    <s v="C10130"/>
    <x v="0"/>
    <n v="38"/>
    <s v="Married"/>
    <s v="Graduate"/>
    <x v="1"/>
    <n v="1490348"/>
    <n v="567"/>
    <n v="1830510"/>
    <n v="24"/>
    <n v="8.99"/>
    <x v="0"/>
    <x v="3"/>
    <x v="1"/>
    <n v="83128.039999999994"/>
    <n v="679302.22"/>
    <x v="0"/>
    <d v="2024-08-05T00:00:00"/>
  </r>
  <r>
    <s v="L00130"/>
    <s v="C10131"/>
    <x v="1"/>
    <n v="41"/>
    <s v="Single"/>
    <s v="Non Graduate"/>
    <x v="1"/>
    <n v="1506958"/>
    <n v="550"/>
    <n v="1510172"/>
    <n v="180"/>
    <n v="8.7100000000000009"/>
    <x v="3"/>
    <x v="0"/>
    <x v="0"/>
    <n v="9120.6"/>
    <n v="1109576.96"/>
    <x v="0"/>
    <d v="2024-07-08T00:00:00"/>
  </r>
  <r>
    <s v="L00131"/>
    <s v="C10132"/>
    <x v="1"/>
    <n v="56"/>
    <s v="Single"/>
    <s v="Non Graduate"/>
    <x v="0"/>
    <n v="1082329"/>
    <n v="570"/>
    <n v="848359"/>
    <n v="60"/>
    <n v="11.71"/>
    <x v="0"/>
    <x v="4"/>
    <x v="0"/>
    <n v="15795.03"/>
    <n v="284886.82"/>
    <x v="0"/>
    <d v="2025-07-28T00:00:00"/>
  </r>
  <r>
    <s v="L00132"/>
    <s v="C10133"/>
    <x v="1"/>
    <n v="25"/>
    <s v="Married"/>
    <s v="Non Graduate"/>
    <x v="0"/>
    <n v="1604738"/>
    <n v="827"/>
    <n v="1086453"/>
    <n v="24"/>
    <n v="11.11"/>
    <x v="2"/>
    <x v="2"/>
    <x v="0"/>
    <n v="50298.25"/>
    <n v="826117.88"/>
    <x v="0"/>
    <d v="2025-09-30T00:00:00"/>
  </r>
  <r>
    <s v="L00133"/>
    <s v="C10134"/>
    <x v="0"/>
    <n v="57"/>
    <s v="Single"/>
    <s v="Graduate"/>
    <x v="1"/>
    <n v="1248222"/>
    <n v="758"/>
    <n v="1056751"/>
    <n v="180"/>
    <n v="10.45"/>
    <x v="3"/>
    <x v="5"/>
    <x v="0"/>
    <n v="6484.34"/>
    <n v="745635.53"/>
    <x v="0"/>
    <d v="2025-04-09T00:00:00"/>
  </r>
  <r>
    <s v="L00134"/>
    <s v="C10135"/>
    <x v="1"/>
    <n v="55"/>
    <s v="Married"/>
    <s v="Non Graduate"/>
    <x v="0"/>
    <n v="897186"/>
    <n v="734"/>
    <n v="233213"/>
    <n v="12"/>
    <n v="11.57"/>
    <x v="2"/>
    <x v="1"/>
    <x v="0"/>
    <n v="21682.98"/>
    <n v="142424.44"/>
    <x v="0"/>
    <d v="2024-06-09T00:00:00"/>
  </r>
  <r>
    <s v="L00135"/>
    <s v="C10136"/>
    <x v="1"/>
    <n v="26"/>
    <s v="Single"/>
    <s v="Non Graduate"/>
    <x v="1"/>
    <n v="1215463"/>
    <n v="736"/>
    <n v="1021504"/>
    <n v="48"/>
    <n v="12.91"/>
    <x v="4"/>
    <x v="4"/>
    <x v="0"/>
    <n v="24028.75"/>
    <n v="598240.68999999994"/>
    <x v="0"/>
    <d v="2024-07-07T00:00:00"/>
  </r>
  <r>
    <s v="L00136"/>
    <s v="C10137"/>
    <x v="0"/>
    <n v="22"/>
    <s v="Single"/>
    <s v="Graduate"/>
    <x v="0"/>
    <n v="294721"/>
    <n v="712"/>
    <n v="812424"/>
    <n v="84"/>
    <n v="15.24"/>
    <x v="1"/>
    <x v="0"/>
    <x v="1"/>
    <n v="11145.68"/>
    <n v="99621.25"/>
    <x v="0"/>
    <d v="2024-10-15T00:00:00"/>
  </r>
  <r>
    <s v="L00137"/>
    <s v="C10138"/>
    <x v="1"/>
    <n v="39"/>
    <s v="Married"/>
    <s v="Graduate"/>
    <x v="1"/>
    <n v="1437858"/>
    <n v="644"/>
    <n v="624004"/>
    <n v="120"/>
    <n v="12.6"/>
    <x v="1"/>
    <x v="3"/>
    <x v="1"/>
    <n v="5855.24"/>
    <n v="136345.89000000001"/>
    <x v="0"/>
    <d v="2025-11-10T00:00:00"/>
  </r>
  <r>
    <s v="L00138"/>
    <s v="C10139"/>
    <x v="1"/>
    <n v="23"/>
    <s v="Married"/>
    <s v="Graduate"/>
    <x v="1"/>
    <n v="1376461"/>
    <n v="659"/>
    <n v="599057"/>
    <n v="24"/>
    <n v="12.54"/>
    <x v="2"/>
    <x v="1"/>
    <x v="0"/>
    <n v="28090.78"/>
    <n v="366966.72"/>
    <x v="0"/>
    <d v="2025-03-07T00:00:00"/>
  </r>
  <r>
    <s v="L00139"/>
    <s v="C10140"/>
    <x v="0"/>
    <n v="39"/>
    <s v="Married"/>
    <s v="Non Graduate"/>
    <x v="1"/>
    <n v="807791"/>
    <n v="824"/>
    <n v="491292"/>
    <n v="36"/>
    <n v="9.3000000000000007"/>
    <x v="4"/>
    <x v="2"/>
    <x v="0"/>
    <n v="14916.17"/>
    <n v="159740.29999999999"/>
    <x v="0"/>
    <d v="2024-08-27T00:00:00"/>
  </r>
  <r>
    <s v="L00140"/>
    <s v="C10141"/>
    <x v="1"/>
    <n v="24"/>
    <s v="Married"/>
    <s v="Non Graduate"/>
    <x v="0"/>
    <n v="954927"/>
    <n v="767"/>
    <n v="1029788"/>
    <n v="240"/>
    <n v="11.34"/>
    <x v="0"/>
    <x v="0"/>
    <x v="0"/>
    <n v="4777.3599999999997"/>
    <n v="267213.15000000002"/>
    <x v="0"/>
    <d v="2024-04-23T00:00:00"/>
  </r>
  <r>
    <s v="L00141"/>
    <s v="C10142"/>
    <x v="0"/>
    <n v="50"/>
    <s v="Single"/>
    <s v="Graduate"/>
    <x v="1"/>
    <n v="751908"/>
    <n v="639"/>
    <n v="617154"/>
    <n v="60"/>
    <n v="14.39"/>
    <x v="0"/>
    <x v="5"/>
    <x v="1"/>
    <n v="11766.04"/>
    <n v="210931.28"/>
    <x v="0"/>
    <d v="2024-03-03T00:00:00"/>
  </r>
  <r>
    <s v="L00142"/>
    <s v="C10143"/>
    <x v="1"/>
    <n v="41"/>
    <s v="Single"/>
    <s v="Graduate"/>
    <x v="1"/>
    <n v="1757643"/>
    <n v="783"/>
    <n v="758780"/>
    <n v="60"/>
    <n v="8.0500000000000007"/>
    <x v="4"/>
    <x v="2"/>
    <x v="0"/>
    <n v="13664.36"/>
    <n v="304799.24"/>
    <x v="0"/>
    <d v="2025-08-29T00:00:00"/>
  </r>
  <r>
    <s v="L00143"/>
    <s v="C10144"/>
    <x v="0"/>
    <n v="42"/>
    <s v="Single"/>
    <s v="Graduate"/>
    <x v="0"/>
    <n v="285117"/>
    <n v="750"/>
    <n v="686341"/>
    <n v="84"/>
    <n v="10.47"/>
    <x v="3"/>
    <x v="1"/>
    <x v="0"/>
    <n v="9026.2000000000007"/>
    <n v="390882.06"/>
    <x v="0"/>
    <d v="2024-07-23T00:00:00"/>
  </r>
  <r>
    <s v="L00144"/>
    <s v="C10145"/>
    <x v="0"/>
    <n v="27"/>
    <s v="Married"/>
    <s v="Graduate"/>
    <x v="1"/>
    <n v="715257"/>
    <n v="651"/>
    <n v="487448"/>
    <n v="24"/>
    <n v="13.95"/>
    <x v="4"/>
    <x v="5"/>
    <x v="0"/>
    <n v="23143.62"/>
    <n v="384590.06"/>
    <x v="0"/>
    <d v="2024-01-31T00:00:00"/>
  </r>
  <r>
    <s v="L00145"/>
    <s v="C10146"/>
    <x v="0"/>
    <n v="40"/>
    <s v="Married"/>
    <s v="Non Graduate"/>
    <x v="0"/>
    <n v="1443118"/>
    <n v="625"/>
    <n v="1126163"/>
    <n v="24"/>
    <n v="8.91"/>
    <x v="0"/>
    <x v="5"/>
    <x v="0"/>
    <n v="51104.34"/>
    <n v="255138.89"/>
    <x v="0"/>
    <d v="2024-09-23T00:00:00"/>
  </r>
  <r>
    <s v="L00146"/>
    <s v="C10147"/>
    <x v="0"/>
    <n v="31"/>
    <s v="Single"/>
    <s v="Non Graduate"/>
    <x v="0"/>
    <n v="1412776"/>
    <n v="747"/>
    <n v="1031047"/>
    <n v="84"/>
    <n v="13.82"/>
    <x v="0"/>
    <x v="3"/>
    <x v="0"/>
    <n v="13970.69"/>
    <n v="592388.30000000005"/>
    <x v="0"/>
    <d v="2024-10-31T00:00:00"/>
  </r>
  <r>
    <s v="L00147"/>
    <s v="C10148"/>
    <x v="1"/>
    <n v="45"/>
    <s v="Married"/>
    <s v="Graduate"/>
    <x v="0"/>
    <n v="770638"/>
    <n v="709"/>
    <n v="646211"/>
    <n v="36"/>
    <n v="11.19"/>
    <x v="2"/>
    <x v="0"/>
    <x v="0"/>
    <n v="19958.939999999999"/>
    <n v="165587.76999999999"/>
    <x v="0"/>
    <d v="2024-02-26T00:00:00"/>
  </r>
  <r>
    <s v="L00148"/>
    <s v="C10149"/>
    <x v="0"/>
    <n v="59"/>
    <s v="Single"/>
    <s v="Graduate"/>
    <x v="0"/>
    <n v="1114660"/>
    <n v="578"/>
    <n v="1363681"/>
    <n v="60"/>
    <n v="8.76"/>
    <x v="3"/>
    <x v="5"/>
    <x v="1"/>
    <n v="24718.99"/>
    <n v="1113211.8"/>
    <x v="0"/>
    <d v="2024-01-04T00:00:00"/>
  </r>
  <r>
    <s v="L00149"/>
    <s v="C10150"/>
    <x v="1"/>
    <n v="40"/>
    <s v="Married"/>
    <s v="Graduate"/>
    <x v="1"/>
    <n v="1702364"/>
    <n v="805"/>
    <n v="923686"/>
    <n v="60"/>
    <n v="11.03"/>
    <x v="3"/>
    <x v="2"/>
    <x v="0"/>
    <n v="17092.810000000001"/>
    <n v="541456.97"/>
    <x v="0"/>
    <d v="2024-03-23T00:00:00"/>
  </r>
  <r>
    <s v="L00150"/>
    <s v="C10151"/>
    <x v="1"/>
    <n v="55"/>
    <s v="Single"/>
    <s v="Non Graduate"/>
    <x v="1"/>
    <n v="1533430"/>
    <n v="669"/>
    <n v="416331"/>
    <n v="240"/>
    <n v="11.82"/>
    <x v="3"/>
    <x v="3"/>
    <x v="0"/>
    <n v="1939.76"/>
    <n v="121820.6"/>
    <x v="0"/>
    <d v="2025-01-01T00:00:00"/>
  </r>
  <r>
    <s v="L00151"/>
    <s v="C10152"/>
    <x v="1"/>
    <n v="39"/>
    <s v="Married"/>
    <s v="Non Graduate"/>
    <x v="0"/>
    <n v="584271"/>
    <n v="573"/>
    <n v="1417315"/>
    <n v="84"/>
    <n v="12.88"/>
    <x v="4"/>
    <x v="2"/>
    <x v="0"/>
    <n v="19046.009999999998"/>
    <n v="353760.03"/>
    <x v="0"/>
    <d v="2024-02-18T00:00:00"/>
  </r>
  <r>
    <s v="L00152"/>
    <s v="C10153"/>
    <x v="0"/>
    <n v="38"/>
    <s v="Married"/>
    <s v="Non Graduate"/>
    <x v="0"/>
    <n v="685268"/>
    <n v="847"/>
    <n v="805337"/>
    <n v="240"/>
    <n v="11.21"/>
    <x v="3"/>
    <x v="1"/>
    <x v="0"/>
    <n v="3731.73"/>
    <n v="187709.35"/>
    <x v="0"/>
    <d v="2025-03-04T00:00:00"/>
  </r>
  <r>
    <s v="L00153"/>
    <s v="C10154"/>
    <x v="0"/>
    <n v="48"/>
    <s v="Married"/>
    <s v="Non Graduate"/>
    <x v="0"/>
    <n v="1829616"/>
    <n v="719"/>
    <n v="654145"/>
    <n v="36"/>
    <n v="7.75"/>
    <x v="4"/>
    <x v="4"/>
    <x v="0"/>
    <n v="19578.919999999998"/>
    <n v="247389.98"/>
    <x v="0"/>
    <d v="2025-01-21T00:00:00"/>
  </r>
  <r>
    <s v="L00154"/>
    <s v="C10155"/>
    <x v="0"/>
    <n v="47"/>
    <s v="Married"/>
    <s v="Graduate"/>
    <x v="0"/>
    <n v="1811654"/>
    <n v="605"/>
    <n v="1531230"/>
    <n v="24"/>
    <n v="13.01"/>
    <x v="1"/>
    <x v="5"/>
    <x v="1"/>
    <n v="72101.789999999994"/>
    <n v="255508.52"/>
    <x v="0"/>
    <d v="2025-01-12T00:00:00"/>
  </r>
  <r>
    <s v="L00155"/>
    <s v="C10156"/>
    <x v="0"/>
    <n v="47"/>
    <s v="Single"/>
    <s v="Non Graduate"/>
    <x v="0"/>
    <n v="881178"/>
    <n v="584"/>
    <n v="1830151"/>
    <n v="24"/>
    <n v="9.35"/>
    <x v="4"/>
    <x v="0"/>
    <x v="1"/>
    <n v="83386.25"/>
    <n v="1254088.31"/>
    <x v="0"/>
    <d v="2025-08-19T00:00:00"/>
  </r>
  <r>
    <s v="L00156"/>
    <s v="C10157"/>
    <x v="0"/>
    <n v="55"/>
    <s v="Single"/>
    <s v="Graduate"/>
    <x v="0"/>
    <n v="325370"/>
    <n v="824"/>
    <n v="379045"/>
    <n v="36"/>
    <n v="13.92"/>
    <x v="4"/>
    <x v="3"/>
    <x v="1"/>
    <n v="11994.67"/>
    <n v="378240.56"/>
    <x v="0"/>
    <d v="2024-09-01T00:00:00"/>
  </r>
  <r>
    <s v="L00157"/>
    <s v="C10158"/>
    <x v="0"/>
    <n v="47"/>
    <s v="Single"/>
    <s v="Graduate"/>
    <x v="1"/>
    <n v="1701498"/>
    <n v="745"/>
    <n v="694730"/>
    <n v="24"/>
    <n v="11.55"/>
    <x v="4"/>
    <x v="4"/>
    <x v="0"/>
    <n v="32290.47"/>
    <n v="637045.12"/>
    <x v="0"/>
    <d v="2025-03-30T00:00:00"/>
  </r>
  <r>
    <s v="L00158"/>
    <s v="C10159"/>
    <x v="0"/>
    <n v="39"/>
    <s v="Single"/>
    <s v="Non Graduate"/>
    <x v="1"/>
    <n v="1706335"/>
    <n v="599"/>
    <n v="957014"/>
    <n v="240"/>
    <n v="13.76"/>
    <x v="3"/>
    <x v="2"/>
    <x v="0"/>
    <n v="4536.25"/>
    <n v="835376.42"/>
    <x v="0"/>
    <d v="2024-08-04T00:00:00"/>
  </r>
  <r>
    <s v="L00159"/>
    <s v="C10160"/>
    <x v="1"/>
    <n v="23"/>
    <s v="Single"/>
    <s v="Non Graduate"/>
    <x v="0"/>
    <n v="879230"/>
    <n v="786"/>
    <n v="1711257"/>
    <n v="36"/>
    <n v="14.78"/>
    <x v="2"/>
    <x v="0"/>
    <x v="0"/>
    <n v="54560.58"/>
    <n v="614517.41"/>
    <x v="0"/>
    <d v="2024-01-22T00:00:00"/>
  </r>
  <r>
    <s v="L00160"/>
    <s v="C10161"/>
    <x v="0"/>
    <n v="31"/>
    <s v="Single"/>
    <s v="Non Graduate"/>
    <x v="0"/>
    <n v="1355806"/>
    <n v="837"/>
    <n v="566980"/>
    <n v="24"/>
    <n v="12.59"/>
    <x v="3"/>
    <x v="1"/>
    <x v="0"/>
    <n v="26598.45"/>
    <n v="225263.28"/>
    <x v="0"/>
    <d v="2024-05-24T00:00:00"/>
  </r>
  <r>
    <s v="L00161"/>
    <s v="C10162"/>
    <x v="1"/>
    <n v="52"/>
    <s v="Married"/>
    <s v="Non Graduate"/>
    <x v="0"/>
    <n v="1366924"/>
    <n v="741"/>
    <n v="574729"/>
    <n v="84"/>
    <n v="10.7"/>
    <x v="2"/>
    <x v="1"/>
    <x v="0"/>
    <n v="7574.11"/>
    <n v="193220.04"/>
    <x v="0"/>
    <d v="2025-02-05T00:00:00"/>
  </r>
  <r>
    <s v="L00162"/>
    <s v="C10163"/>
    <x v="1"/>
    <n v="42"/>
    <s v="Married"/>
    <s v="Graduate"/>
    <x v="1"/>
    <n v="748437"/>
    <n v="664"/>
    <n v="848773"/>
    <n v="36"/>
    <n v="14.31"/>
    <x v="4"/>
    <x v="3"/>
    <x v="0"/>
    <n v="26950.9"/>
    <n v="194556.82"/>
    <x v="0"/>
    <d v="2025-08-04T00:00:00"/>
  </r>
  <r>
    <s v="L00163"/>
    <s v="C10164"/>
    <x v="1"/>
    <n v="44"/>
    <s v="Single"/>
    <s v="Non Graduate"/>
    <x v="0"/>
    <n v="1513150"/>
    <n v="742"/>
    <n v="667015"/>
    <n v="24"/>
    <n v="10.09"/>
    <x v="1"/>
    <x v="4"/>
    <x v="0"/>
    <n v="30596.53"/>
    <n v="360143.9"/>
    <x v="0"/>
    <d v="2025-08-19T00:00:00"/>
  </r>
  <r>
    <s v="L00164"/>
    <s v="C10165"/>
    <x v="0"/>
    <n v="49"/>
    <s v="Married"/>
    <s v="Non Graduate"/>
    <x v="0"/>
    <n v="1554941"/>
    <n v="571"/>
    <n v="977720"/>
    <n v="240"/>
    <n v="12.21"/>
    <x v="0"/>
    <x v="4"/>
    <x v="0"/>
    <n v="4571.25"/>
    <n v="158527.17000000001"/>
    <x v="1"/>
    <d v="2024-12-04T00:00:00"/>
  </r>
  <r>
    <s v="L00165"/>
    <s v="C10166"/>
    <x v="0"/>
    <n v="55"/>
    <s v="Single"/>
    <s v="Non Graduate"/>
    <x v="1"/>
    <n v="550938"/>
    <n v="844"/>
    <n v="1881741"/>
    <n v="24"/>
    <n v="8.59"/>
    <x v="4"/>
    <x v="4"/>
    <x v="0"/>
    <n v="85140.94"/>
    <n v="809923.08"/>
    <x v="0"/>
    <d v="2024-11-06T00:00:00"/>
  </r>
  <r>
    <s v="L00166"/>
    <s v="C10167"/>
    <x v="1"/>
    <n v="49"/>
    <s v="Married"/>
    <s v="Non Graduate"/>
    <x v="0"/>
    <n v="501820"/>
    <n v="560"/>
    <n v="1062728"/>
    <n v="48"/>
    <n v="14.1"/>
    <x v="3"/>
    <x v="0"/>
    <x v="0"/>
    <n v="25261.93"/>
    <n v="737979.87"/>
    <x v="1"/>
    <d v="2024-10-02T00:00:00"/>
  </r>
  <r>
    <s v="L00167"/>
    <s v="C10168"/>
    <x v="0"/>
    <n v="24"/>
    <s v="Single"/>
    <s v="Graduate"/>
    <x v="0"/>
    <n v="1698063"/>
    <n v="790"/>
    <n v="721883"/>
    <n v="48"/>
    <n v="15.41"/>
    <x v="2"/>
    <x v="5"/>
    <x v="0"/>
    <n v="17356.77"/>
    <n v="718868.38"/>
    <x v="0"/>
    <d v="2025-06-27T00:00:00"/>
  </r>
  <r>
    <s v="L00168"/>
    <s v="C10169"/>
    <x v="0"/>
    <n v="29"/>
    <s v="Single"/>
    <s v="Graduate"/>
    <x v="1"/>
    <n v="1870318"/>
    <n v="784"/>
    <n v="1664842"/>
    <n v="240"/>
    <n v="14.2"/>
    <x v="2"/>
    <x v="3"/>
    <x v="0"/>
    <n v="7921.87"/>
    <n v="177840.99"/>
    <x v="0"/>
    <d v="2025-12-08T00:00:00"/>
  </r>
  <r>
    <s v="L00169"/>
    <s v="C10170"/>
    <x v="1"/>
    <n v="30"/>
    <s v="Single"/>
    <s v="Graduate"/>
    <x v="0"/>
    <n v="839720"/>
    <n v="794"/>
    <n v="1282607"/>
    <n v="36"/>
    <n v="14.93"/>
    <x v="2"/>
    <x v="4"/>
    <x v="0"/>
    <n v="40947.230000000003"/>
    <n v="882213.08"/>
    <x v="0"/>
    <d v="2024-01-20T00:00:00"/>
  </r>
  <r>
    <s v="L00170"/>
    <s v="C10171"/>
    <x v="1"/>
    <n v="57"/>
    <s v="Married"/>
    <s v="Graduate"/>
    <x v="0"/>
    <n v="871546"/>
    <n v="811"/>
    <n v="1178080"/>
    <n v="240"/>
    <n v="7.8"/>
    <x v="1"/>
    <x v="1"/>
    <x v="0"/>
    <n v="5291.54"/>
    <n v="730426.31"/>
    <x v="0"/>
    <d v="2025-04-16T00:00:00"/>
  </r>
  <r>
    <s v="L00171"/>
    <s v="C10172"/>
    <x v="1"/>
    <n v="37"/>
    <s v="Married"/>
    <s v="Non Graduate"/>
    <x v="1"/>
    <n v="490144"/>
    <n v="817"/>
    <n v="1423691"/>
    <n v="24"/>
    <n v="8.0399999999999991"/>
    <x v="4"/>
    <x v="0"/>
    <x v="0"/>
    <n v="64089.82"/>
    <n v="1390017.34"/>
    <x v="0"/>
    <d v="2024-10-03T00:00:00"/>
  </r>
  <r>
    <s v="L00172"/>
    <s v="C10173"/>
    <x v="1"/>
    <n v="37"/>
    <s v="Single"/>
    <s v="Graduate"/>
    <x v="1"/>
    <n v="339476"/>
    <n v="609"/>
    <n v="646278"/>
    <n v="240"/>
    <n v="11.05"/>
    <x v="2"/>
    <x v="3"/>
    <x v="0"/>
    <n v="2990.38"/>
    <n v="380195.28"/>
    <x v="0"/>
    <d v="2024-06-28T00:00:00"/>
  </r>
  <r>
    <s v="L00173"/>
    <s v="C10174"/>
    <x v="0"/>
    <n v="48"/>
    <s v="Married"/>
    <s v="Non Graduate"/>
    <x v="0"/>
    <n v="1596867"/>
    <n v="715"/>
    <n v="383881"/>
    <n v="120"/>
    <n v="10.02"/>
    <x v="0"/>
    <x v="4"/>
    <x v="0"/>
    <n v="3519.55"/>
    <n v="131987.95000000001"/>
    <x v="0"/>
    <d v="2025-08-11T00:00:00"/>
  </r>
  <r>
    <s v="L00174"/>
    <s v="C10175"/>
    <x v="0"/>
    <n v="55"/>
    <s v="Married"/>
    <s v="Graduate"/>
    <x v="1"/>
    <n v="263185"/>
    <n v="619"/>
    <n v="121030"/>
    <n v="60"/>
    <n v="8.9600000000000009"/>
    <x v="1"/>
    <x v="5"/>
    <x v="0"/>
    <n v="2197.9"/>
    <n v="48496.73"/>
    <x v="1"/>
    <d v="2024-09-29T00:00:00"/>
  </r>
  <r>
    <s v="L00175"/>
    <s v="C10176"/>
    <x v="0"/>
    <n v="25"/>
    <s v="Single"/>
    <s v="Non Graduate"/>
    <x v="0"/>
    <n v="1433817"/>
    <n v="728"/>
    <n v="1319454"/>
    <n v="48"/>
    <n v="13.06"/>
    <x v="0"/>
    <x v="5"/>
    <x v="0"/>
    <n v="31078.639999999999"/>
    <n v="1205441.3600000001"/>
    <x v="0"/>
    <d v="2025-04-07T00:00:00"/>
  </r>
  <r>
    <s v="L00176"/>
    <s v="C10177"/>
    <x v="0"/>
    <n v="29"/>
    <s v="Married"/>
    <s v="Non Graduate"/>
    <x v="0"/>
    <n v="1548382"/>
    <n v="785"/>
    <n v="103146"/>
    <n v="48"/>
    <n v="15.36"/>
    <x v="3"/>
    <x v="4"/>
    <x v="0"/>
    <n v="2478.94"/>
    <n v="29102.71"/>
    <x v="0"/>
    <d v="2025-05-05T00:00:00"/>
  </r>
  <r>
    <s v="L00177"/>
    <s v="C10178"/>
    <x v="1"/>
    <n v="38"/>
    <s v="Single"/>
    <s v="Non Graduate"/>
    <x v="1"/>
    <n v="811991"/>
    <n v="808"/>
    <n v="1320232"/>
    <n v="84"/>
    <n v="14.35"/>
    <x v="3"/>
    <x v="4"/>
    <x v="0"/>
    <n v="17972.439999999999"/>
    <n v="424181.36"/>
    <x v="0"/>
    <d v="2024-06-16T00:00:00"/>
  </r>
  <r>
    <s v="L00178"/>
    <s v="C10179"/>
    <x v="0"/>
    <n v="32"/>
    <s v="Single"/>
    <s v="Graduate"/>
    <x v="0"/>
    <n v="954381"/>
    <n v="603"/>
    <n v="849995"/>
    <n v="84"/>
    <n v="7.82"/>
    <x v="3"/>
    <x v="3"/>
    <x v="0"/>
    <n v="10910.29"/>
    <n v="511740.62"/>
    <x v="1"/>
    <d v="2025-08-12T00:00:00"/>
  </r>
  <r>
    <s v="L00179"/>
    <s v="C10180"/>
    <x v="1"/>
    <n v="27"/>
    <s v="Married"/>
    <s v="Non Graduate"/>
    <x v="0"/>
    <n v="517887"/>
    <n v="821"/>
    <n v="1092194"/>
    <n v="24"/>
    <n v="9.02"/>
    <x v="1"/>
    <x v="2"/>
    <x v="0"/>
    <n v="49612.91"/>
    <n v="615212.76"/>
    <x v="0"/>
    <d v="2024-04-02T00:00:00"/>
  </r>
  <r>
    <s v="L00180"/>
    <s v="C10181"/>
    <x v="1"/>
    <n v="22"/>
    <s v="Single"/>
    <s v="Graduate"/>
    <x v="0"/>
    <n v="1959928"/>
    <n v="672"/>
    <n v="1445572"/>
    <n v="36"/>
    <n v="9.25"/>
    <x v="3"/>
    <x v="0"/>
    <x v="0"/>
    <n v="43869.09"/>
    <n v="1019262.74"/>
    <x v="0"/>
    <d v="2024-07-17T00:00:00"/>
  </r>
  <r>
    <s v="L00181"/>
    <s v="C10182"/>
    <x v="0"/>
    <n v="60"/>
    <s v="Single"/>
    <s v="Non Graduate"/>
    <x v="1"/>
    <n v="625891"/>
    <n v="782"/>
    <n v="1355406"/>
    <n v="84"/>
    <n v="12.13"/>
    <x v="1"/>
    <x v="1"/>
    <x v="0"/>
    <n v="18093.060000000001"/>
    <n v="854087.68000000005"/>
    <x v="0"/>
    <d v="2024-07-27T00:00:00"/>
  </r>
  <r>
    <s v="L00182"/>
    <s v="C10183"/>
    <x v="1"/>
    <n v="26"/>
    <s v="Single"/>
    <s v="Non Graduate"/>
    <x v="0"/>
    <n v="1011828"/>
    <n v="825"/>
    <n v="1936262"/>
    <n v="24"/>
    <n v="10.9"/>
    <x v="0"/>
    <x v="1"/>
    <x v="0"/>
    <n v="89471.44"/>
    <n v="1337768.78"/>
    <x v="0"/>
    <d v="2025-12-12T00:00:00"/>
  </r>
  <r>
    <s v="L00183"/>
    <s v="C10184"/>
    <x v="0"/>
    <n v="29"/>
    <s v="Single"/>
    <s v="Non Graduate"/>
    <x v="0"/>
    <n v="512778"/>
    <n v="591"/>
    <n v="742733"/>
    <n v="60"/>
    <n v="10.11"/>
    <x v="1"/>
    <x v="5"/>
    <x v="0"/>
    <n v="13630.39"/>
    <n v="390859.98"/>
    <x v="0"/>
    <d v="2024-02-09T00:00:00"/>
  </r>
  <r>
    <s v="L00184"/>
    <s v="C10185"/>
    <x v="0"/>
    <n v="23"/>
    <s v="Single"/>
    <s v="Non Graduate"/>
    <x v="0"/>
    <n v="1770877"/>
    <n v="672"/>
    <n v="952900"/>
    <n v="120"/>
    <n v="7.6"/>
    <x v="1"/>
    <x v="1"/>
    <x v="0"/>
    <n v="8544.34"/>
    <n v="408470.85"/>
    <x v="0"/>
    <d v="2024-01-05T00:00:00"/>
  </r>
  <r>
    <s v="L00185"/>
    <s v="C10186"/>
    <x v="1"/>
    <n v="55"/>
    <s v="Married"/>
    <s v="Graduate"/>
    <x v="0"/>
    <n v="569941"/>
    <n v="767"/>
    <n v="318912"/>
    <n v="12"/>
    <n v="8.94"/>
    <x v="3"/>
    <x v="0"/>
    <x v="0"/>
    <n v="28951.89"/>
    <n v="313553.34999999998"/>
    <x v="0"/>
    <d v="2025-10-28T00:00:00"/>
  </r>
  <r>
    <s v="L00186"/>
    <s v="C10187"/>
    <x v="1"/>
    <n v="23"/>
    <s v="Married"/>
    <s v="Graduate"/>
    <x v="0"/>
    <n v="1956653"/>
    <n v="645"/>
    <n v="1602630"/>
    <n v="48"/>
    <n v="12.69"/>
    <x v="3"/>
    <x v="1"/>
    <x v="0"/>
    <n v="37625.08"/>
    <n v="489216.36"/>
    <x v="0"/>
    <d v="2025-12-13T00:00:00"/>
  </r>
  <r>
    <s v="L00187"/>
    <s v="C10188"/>
    <x v="1"/>
    <n v="25"/>
    <s v="Single"/>
    <s v="Non Graduate"/>
    <x v="0"/>
    <n v="1472782"/>
    <n v="799"/>
    <n v="1186776"/>
    <n v="84"/>
    <n v="11.08"/>
    <x v="2"/>
    <x v="5"/>
    <x v="0"/>
    <n v="15693.7"/>
    <n v="308371.49"/>
    <x v="0"/>
    <d v="2025-08-11T00:00:00"/>
  </r>
  <r>
    <s v="L00188"/>
    <s v="C10189"/>
    <x v="1"/>
    <n v="40"/>
    <s v="Single"/>
    <s v="Graduate"/>
    <x v="0"/>
    <n v="1803286"/>
    <n v="726"/>
    <n v="1296650"/>
    <n v="24"/>
    <n v="15.47"/>
    <x v="1"/>
    <x v="0"/>
    <x v="0"/>
    <n v="62385.07"/>
    <n v="351699.23"/>
    <x v="0"/>
    <d v="2024-01-07T00:00:00"/>
  </r>
  <r>
    <s v="L00189"/>
    <s v="C10190"/>
    <x v="1"/>
    <n v="54"/>
    <s v="Married"/>
    <s v="Graduate"/>
    <x v="1"/>
    <n v="1165537"/>
    <n v="774"/>
    <n v="1982434"/>
    <n v="24"/>
    <n v="12.33"/>
    <x v="4"/>
    <x v="4"/>
    <x v="0"/>
    <n v="92786.17"/>
    <n v="838018.91"/>
    <x v="0"/>
    <d v="2025-08-16T00:00:00"/>
  </r>
  <r>
    <s v="L00190"/>
    <s v="C10191"/>
    <x v="1"/>
    <n v="48"/>
    <s v="Single"/>
    <s v="Graduate"/>
    <x v="1"/>
    <n v="797614"/>
    <n v="680"/>
    <n v="857105"/>
    <n v="12"/>
    <n v="10.47"/>
    <x v="1"/>
    <x v="5"/>
    <x v="0"/>
    <n v="78903.66"/>
    <n v="245169.14"/>
    <x v="0"/>
    <d v="2024-08-22T00:00:00"/>
  </r>
  <r>
    <s v="L00191"/>
    <s v="C10192"/>
    <x v="0"/>
    <n v="36"/>
    <s v="Married"/>
    <s v="Graduate"/>
    <x v="0"/>
    <n v="1978842"/>
    <n v="805"/>
    <n v="772890"/>
    <n v="240"/>
    <n v="12.65"/>
    <x v="4"/>
    <x v="5"/>
    <x v="0"/>
    <n v="3627.75"/>
    <n v="710863.98"/>
    <x v="0"/>
    <d v="2025-06-07T00:00:00"/>
  </r>
  <r>
    <s v="L00192"/>
    <s v="C10193"/>
    <x v="1"/>
    <n v="36"/>
    <s v="Single"/>
    <s v="Graduate"/>
    <x v="1"/>
    <n v="1337682"/>
    <n v="652"/>
    <n v="1095560"/>
    <n v="60"/>
    <n v="15.2"/>
    <x v="1"/>
    <x v="3"/>
    <x v="0"/>
    <n v="21034.75"/>
    <n v="534465.88"/>
    <x v="0"/>
    <d v="2024-10-16T00:00:00"/>
  </r>
  <r>
    <s v="L00193"/>
    <s v="C10194"/>
    <x v="1"/>
    <n v="22"/>
    <s v="Single"/>
    <s v="Graduate"/>
    <x v="0"/>
    <n v="1924904"/>
    <n v="732"/>
    <n v="845705"/>
    <n v="24"/>
    <n v="11.74"/>
    <x v="3"/>
    <x v="5"/>
    <x v="0"/>
    <n v="39374.620000000003"/>
    <n v="322719.61"/>
    <x v="0"/>
    <d v="2024-11-12T00:00:00"/>
  </r>
  <r>
    <s v="L00194"/>
    <s v="C10195"/>
    <x v="0"/>
    <n v="33"/>
    <s v="Married"/>
    <s v="Graduate"/>
    <x v="1"/>
    <n v="1232599"/>
    <n v="779"/>
    <n v="1578630"/>
    <n v="24"/>
    <n v="7.61"/>
    <x v="4"/>
    <x v="5"/>
    <x v="0"/>
    <n v="70781.820000000007"/>
    <n v="232394.2"/>
    <x v="0"/>
    <d v="2025-11-06T00:00:00"/>
  </r>
  <r>
    <s v="L00195"/>
    <s v="C10196"/>
    <x v="0"/>
    <n v="28"/>
    <s v="Single"/>
    <s v="Graduate"/>
    <x v="1"/>
    <n v="894218"/>
    <n v="767"/>
    <n v="1734011"/>
    <n v="24"/>
    <n v="11.75"/>
    <x v="3"/>
    <x v="2"/>
    <x v="0"/>
    <n v="80739.89"/>
    <n v="514901.64"/>
    <x v="0"/>
    <d v="2024-03-29T00:00:00"/>
  </r>
  <r>
    <s v="L00196"/>
    <s v="C10197"/>
    <x v="0"/>
    <n v="21"/>
    <s v="Married"/>
    <s v="Non Graduate"/>
    <x v="0"/>
    <n v="812980"/>
    <n v="695"/>
    <n v="1560834"/>
    <n v="180"/>
    <n v="8.07"/>
    <x v="0"/>
    <x v="2"/>
    <x v="0"/>
    <n v="9371.07"/>
    <n v="513899.2"/>
    <x v="0"/>
    <d v="2024-05-02T00:00:00"/>
  </r>
  <r>
    <s v="L00197"/>
    <s v="C10198"/>
    <x v="1"/>
    <n v="31"/>
    <s v="Married"/>
    <s v="Non Graduate"/>
    <x v="0"/>
    <n v="523570"/>
    <n v="600"/>
    <n v="1247295"/>
    <n v="120"/>
    <n v="13.08"/>
    <x v="3"/>
    <x v="2"/>
    <x v="1"/>
    <n v="11753.68"/>
    <n v="398598.48"/>
    <x v="0"/>
    <d v="2025-05-20T00:00:00"/>
  </r>
  <r>
    <s v="L00198"/>
    <s v="C10199"/>
    <x v="1"/>
    <n v="37"/>
    <s v="Single"/>
    <s v="Graduate"/>
    <x v="0"/>
    <n v="1339509"/>
    <n v="848"/>
    <n v="1298531"/>
    <n v="120"/>
    <n v="15.2"/>
    <x v="2"/>
    <x v="2"/>
    <x v="0"/>
    <n v="12465.9"/>
    <n v="756136.72"/>
    <x v="0"/>
    <d v="2024-08-05T00:00:00"/>
  </r>
  <r>
    <s v="L00199"/>
    <s v="C10200"/>
    <x v="0"/>
    <n v="55"/>
    <s v="Single"/>
    <s v="Graduate"/>
    <x v="0"/>
    <n v="449395"/>
    <n v="847"/>
    <n v="444120"/>
    <n v="48"/>
    <n v="12.2"/>
    <x v="3"/>
    <x v="3"/>
    <x v="0"/>
    <n v="10381.299999999999"/>
    <n v="344185.49"/>
    <x v="0"/>
    <d v="2025-10-10T00:00:00"/>
  </r>
  <r>
    <s v="L00200"/>
    <s v="C10201"/>
    <x v="1"/>
    <n v="59"/>
    <s v="Single"/>
    <s v="Non Graduate"/>
    <x v="0"/>
    <n v="618223"/>
    <n v="817"/>
    <n v="1789077"/>
    <n v="48"/>
    <n v="9.39"/>
    <x v="1"/>
    <x v="3"/>
    <x v="0"/>
    <n v="40772.32"/>
    <n v="757970.26"/>
    <x v="0"/>
    <d v="2025-05-22T00:00:00"/>
  </r>
  <r>
    <s v="L00201"/>
    <s v="C10202"/>
    <x v="1"/>
    <n v="47"/>
    <s v="Single"/>
    <s v="Non Graduate"/>
    <x v="1"/>
    <n v="1905185"/>
    <n v="845"/>
    <n v="178287"/>
    <n v="240"/>
    <n v="13.8"/>
    <x v="2"/>
    <x v="1"/>
    <x v="0"/>
    <n v="845.38"/>
    <n v="43959.65"/>
    <x v="0"/>
    <d v="2024-07-21T00:00:00"/>
  </r>
  <r>
    <s v="L00202"/>
    <s v="C10203"/>
    <x v="0"/>
    <n v="42"/>
    <s v="Single"/>
    <s v="Non Graduate"/>
    <x v="1"/>
    <n v="1345674"/>
    <n v="758"/>
    <n v="1787796"/>
    <n v="60"/>
    <n v="11.52"/>
    <x v="2"/>
    <x v="4"/>
    <x v="0"/>
    <n v="33229.17"/>
    <n v="1285420.2"/>
    <x v="0"/>
    <d v="2024-03-08T00:00:00"/>
  </r>
  <r>
    <s v="L00203"/>
    <s v="C10204"/>
    <x v="1"/>
    <n v="55"/>
    <s v="Single"/>
    <s v="Non Graduate"/>
    <x v="0"/>
    <n v="1576940"/>
    <n v="706"/>
    <n v="1339438"/>
    <n v="24"/>
    <n v="10.74"/>
    <x v="2"/>
    <x v="1"/>
    <x v="0"/>
    <n v="61803.9"/>
    <n v="1317395.3799999999"/>
    <x v="0"/>
    <d v="2024-04-11T00:00:00"/>
  </r>
  <r>
    <s v="L00204"/>
    <s v="C10205"/>
    <x v="0"/>
    <n v="42"/>
    <s v="Married"/>
    <s v="Non Graduate"/>
    <x v="1"/>
    <n v="1307855"/>
    <n v="719"/>
    <n v="806863"/>
    <n v="48"/>
    <n v="13.59"/>
    <x v="3"/>
    <x v="3"/>
    <x v="0"/>
    <n v="19094.080000000002"/>
    <n v="108201.33"/>
    <x v="0"/>
    <d v="2025-08-13T00:00:00"/>
  </r>
  <r>
    <s v="L00205"/>
    <s v="C10206"/>
    <x v="0"/>
    <n v="49"/>
    <s v="Married"/>
    <s v="Non Graduate"/>
    <x v="0"/>
    <n v="1138678"/>
    <n v="714"/>
    <n v="367537"/>
    <n v="12"/>
    <n v="7.91"/>
    <x v="1"/>
    <x v="1"/>
    <x v="0"/>
    <n v="33050.76"/>
    <n v="218792.91"/>
    <x v="0"/>
    <d v="2024-09-17T00:00:00"/>
  </r>
  <r>
    <s v="L00206"/>
    <s v="C10207"/>
    <x v="1"/>
    <n v="28"/>
    <s v="Single"/>
    <s v="Non Graduate"/>
    <x v="1"/>
    <n v="1261347"/>
    <n v="568"/>
    <n v="1956661"/>
    <n v="48"/>
    <n v="9.73"/>
    <x v="1"/>
    <x v="1"/>
    <x v="0"/>
    <n v="44730.09"/>
    <n v="1370240.14"/>
    <x v="0"/>
    <d v="2024-12-19T00:00:00"/>
  </r>
  <r>
    <s v="L00207"/>
    <s v="C10208"/>
    <x v="0"/>
    <n v="50"/>
    <s v="Married"/>
    <s v="Non Graduate"/>
    <x v="1"/>
    <n v="1305766"/>
    <n v="774"/>
    <n v="1590779"/>
    <n v="12"/>
    <n v="11.56"/>
    <x v="3"/>
    <x v="2"/>
    <x v="0"/>
    <n v="147889.42000000001"/>
    <n v="884444.28"/>
    <x v="0"/>
    <d v="2024-01-23T00:00:00"/>
  </r>
  <r>
    <s v="L00208"/>
    <s v="C10209"/>
    <x v="1"/>
    <n v="48"/>
    <s v="Married"/>
    <s v="Non Graduate"/>
    <x v="0"/>
    <n v="1988126"/>
    <n v="718"/>
    <n v="586572"/>
    <n v="36"/>
    <n v="8.66"/>
    <x v="1"/>
    <x v="2"/>
    <x v="0"/>
    <n v="17704.7"/>
    <n v="501436.81"/>
    <x v="0"/>
    <d v="2024-07-17T00:00:00"/>
  </r>
  <r>
    <s v="L00209"/>
    <s v="C10210"/>
    <x v="1"/>
    <n v="58"/>
    <s v="Single"/>
    <s v="Graduate"/>
    <x v="0"/>
    <n v="587590"/>
    <n v="643"/>
    <n v="1960490"/>
    <n v="48"/>
    <n v="12.97"/>
    <x v="3"/>
    <x v="1"/>
    <x v="0"/>
    <n v="46140.95"/>
    <n v="344806.93"/>
    <x v="0"/>
    <d v="2024-12-09T00:00:00"/>
  </r>
  <r>
    <s v="L00210"/>
    <s v="C10211"/>
    <x v="0"/>
    <n v="45"/>
    <s v="Married"/>
    <s v="Non Graduate"/>
    <x v="0"/>
    <n v="563258"/>
    <n v="750"/>
    <n v="365285"/>
    <n v="24"/>
    <n v="10.69"/>
    <x v="0"/>
    <x v="1"/>
    <x v="0"/>
    <n v="16847.25"/>
    <n v="102608.09"/>
    <x v="0"/>
    <d v="2025-11-23T00:00:00"/>
  </r>
  <r>
    <s v="L00211"/>
    <s v="C10212"/>
    <x v="1"/>
    <n v="45"/>
    <s v="Single"/>
    <s v="Non Graduate"/>
    <x v="1"/>
    <n v="1618488"/>
    <n v="822"/>
    <n v="402778"/>
    <n v="120"/>
    <n v="11.42"/>
    <x v="1"/>
    <x v="1"/>
    <x v="0"/>
    <n v="3739.79"/>
    <n v="353249.9"/>
    <x v="0"/>
    <d v="2024-11-04T00:00:00"/>
  </r>
  <r>
    <s v="L00212"/>
    <s v="C10213"/>
    <x v="1"/>
    <n v="28"/>
    <s v="Married"/>
    <s v="Graduate"/>
    <x v="1"/>
    <n v="1821503"/>
    <n v="584"/>
    <n v="1551978"/>
    <n v="12"/>
    <n v="8.5299999999999994"/>
    <x v="0"/>
    <x v="1"/>
    <x v="0"/>
    <n v="140363.48000000001"/>
    <n v="831294.47"/>
    <x v="0"/>
    <d v="2024-02-01T00:00:00"/>
  </r>
  <r>
    <s v="L00213"/>
    <s v="C10214"/>
    <x v="0"/>
    <n v="57"/>
    <s v="Married"/>
    <s v="Graduate"/>
    <x v="1"/>
    <n v="873681"/>
    <n v="608"/>
    <n v="722211"/>
    <n v="84"/>
    <n v="12.95"/>
    <x v="4"/>
    <x v="4"/>
    <x v="0"/>
    <n v="9711.16"/>
    <n v="707968.03"/>
    <x v="0"/>
    <d v="2024-08-31T00:00:00"/>
  </r>
  <r>
    <s v="L00214"/>
    <s v="C10215"/>
    <x v="1"/>
    <n v="21"/>
    <s v="Single"/>
    <s v="Non Graduate"/>
    <x v="1"/>
    <n v="1847329"/>
    <n v="589"/>
    <n v="260482"/>
    <n v="60"/>
    <n v="9.42"/>
    <x v="0"/>
    <x v="3"/>
    <x v="0"/>
    <n v="4750.32"/>
    <n v="56859.02"/>
    <x v="1"/>
    <d v="2024-07-27T00:00:00"/>
  </r>
  <r>
    <s v="L00215"/>
    <s v="C10216"/>
    <x v="1"/>
    <n v="53"/>
    <s v="Married"/>
    <s v="Non Graduate"/>
    <x v="1"/>
    <n v="1269221"/>
    <n v="663"/>
    <n v="240112"/>
    <n v="84"/>
    <n v="13.02"/>
    <x v="3"/>
    <x v="4"/>
    <x v="0"/>
    <n v="3230.65"/>
    <n v="75178.23"/>
    <x v="0"/>
    <d v="2025-01-16T00:00:00"/>
  </r>
  <r>
    <s v="L00216"/>
    <s v="C10217"/>
    <x v="0"/>
    <n v="32"/>
    <s v="Single"/>
    <s v="Non Graduate"/>
    <x v="1"/>
    <n v="1279403"/>
    <n v="793"/>
    <n v="1378291"/>
    <n v="240"/>
    <n v="9.6999999999999993"/>
    <x v="2"/>
    <x v="2"/>
    <x v="0"/>
    <n v="6299.94"/>
    <n v="1310159.1499999999"/>
    <x v="0"/>
    <d v="2025-04-20T00:00:00"/>
  </r>
  <r>
    <s v="L00217"/>
    <s v="C10218"/>
    <x v="0"/>
    <n v="54"/>
    <s v="Single"/>
    <s v="Graduate"/>
    <x v="1"/>
    <n v="824852"/>
    <n v="732"/>
    <n v="354409"/>
    <n v="180"/>
    <n v="14.01"/>
    <x v="1"/>
    <x v="5"/>
    <x v="0"/>
    <n v="2244.79"/>
    <n v="88492.22"/>
    <x v="0"/>
    <d v="2024-08-25T00:00:00"/>
  </r>
  <r>
    <s v="L00218"/>
    <s v="C10219"/>
    <x v="0"/>
    <n v="42"/>
    <s v="Married"/>
    <s v="Non Graduate"/>
    <x v="0"/>
    <n v="932882"/>
    <n v="586"/>
    <n v="1371516"/>
    <n v="36"/>
    <n v="14.91"/>
    <x v="3"/>
    <x v="1"/>
    <x v="0"/>
    <n v="43778.03"/>
    <n v="832495.3"/>
    <x v="0"/>
    <d v="2025-04-09T00:00:00"/>
  </r>
  <r>
    <s v="L00219"/>
    <s v="C10220"/>
    <x v="1"/>
    <n v="38"/>
    <s v="Single"/>
    <s v="Non Graduate"/>
    <x v="0"/>
    <n v="295595"/>
    <n v="557"/>
    <n v="735281"/>
    <n v="60"/>
    <n v="14.52"/>
    <x v="1"/>
    <x v="3"/>
    <x v="0"/>
    <n v="14034.06"/>
    <n v="418068.47"/>
    <x v="0"/>
    <d v="2024-07-15T00:00:00"/>
  </r>
  <r>
    <s v="L00220"/>
    <s v="C10221"/>
    <x v="1"/>
    <n v="40"/>
    <s v="Single"/>
    <s v="Non Graduate"/>
    <x v="1"/>
    <n v="398299"/>
    <n v="833"/>
    <n v="846947"/>
    <n v="240"/>
    <n v="8.17"/>
    <x v="4"/>
    <x v="4"/>
    <x v="1"/>
    <n v="3817.26"/>
    <n v="760167.74"/>
    <x v="0"/>
    <d v="2024-09-14T00:00:00"/>
  </r>
  <r>
    <s v="L00221"/>
    <s v="C10222"/>
    <x v="1"/>
    <n v="48"/>
    <s v="Single"/>
    <s v="Graduate"/>
    <x v="1"/>
    <n v="1484172"/>
    <n v="605"/>
    <n v="1880671"/>
    <n v="84"/>
    <n v="8.8000000000000007"/>
    <x v="1"/>
    <x v="2"/>
    <x v="1"/>
    <n v="24359.17"/>
    <n v="1322323.47"/>
    <x v="0"/>
    <d v="2025-04-10T00:00:00"/>
  </r>
  <r>
    <s v="L00222"/>
    <s v="C10223"/>
    <x v="0"/>
    <n v="47"/>
    <s v="Married"/>
    <s v="Non Graduate"/>
    <x v="0"/>
    <n v="1955289"/>
    <n v="743"/>
    <n v="1370035"/>
    <n v="240"/>
    <n v="13.68"/>
    <x v="2"/>
    <x v="3"/>
    <x v="0"/>
    <n v="6489.4"/>
    <n v="927884.44"/>
    <x v="0"/>
    <d v="2024-03-06T00:00:00"/>
  </r>
  <r>
    <s v="L00223"/>
    <s v="C10224"/>
    <x v="0"/>
    <n v="49"/>
    <s v="Married"/>
    <s v="Graduate"/>
    <x v="1"/>
    <n v="1383534"/>
    <n v="676"/>
    <n v="617303"/>
    <n v="240"/>
    <n v="10.02"/>
    <x v="4"/>
    <x v="5"/>
    <x v="0"/>
    <n v="2829.82"/>
    <n v="426853.93"/>
    <x v="0"/>
    <d v="2025-10-29T00:00:00"/>
  </r>
  <r>
    <s v="L00224"/>
    <s v="C10225"/>
    <x v="0"/>
    <n v="27"/>
    <s v="Single"/>
    <s v="Graduate"/>
    <x v="1"/>
    <n v="1444490"/>
    <n v="799"/>
    <n v="1018918"/>
    <n v="240"/>
    <n v="10.35"/>
    <x v="2"/>
    <x v="5"/>
    <x v="0"/>
    <n v="4684.8999999999996"/>
    <n v="121280.83"/>
    <x v="0"/>
    <d v="2025-07-06T00:00:00"/>
  </r>
  <r>
    <s v="L00225"/>
    <s v="C10226"/>
    <x v="0"/>
    <n v="40"/>
    <s v="Single"/>
    <s v="Graduate"/>
    <x v="0"/>
    <n v="1651911"/>
    <n v="712"/>
    <n v="575680"/>
    <n v="60"/>
    <n v="12.57"/>
    <x v="4"/>
    <x v="0"/>
    <x v="0"/>
    <n v="10800.72"/>
    <n v="350042.08"/>
    <x v="0"/>
    <d v="2024-06-12T00:00:00"/>
  </r>
  <r>
    <s v="L00226"/>
    <s v="C10227"/>
    <x v="1"/>
    <n v="41"/>
    <s v="Married"/>
    <s v="Graduate"/>
    <x v="1"/>
    <n v="253898"/>
    <n v="711"/>
    <n v="1249249"/>
    <n v="36"/>
    <n v="9.6"/>
    <x v="2"/>
    <x v="4"/>
    <x v="0"/>
    <n v="38032.69"/>
    <n v="361972.24"/>
    <x v="0"/>
    <d v="2025-05-13T00:00:00"/>
  </r>
  <r>
    <s v="L00227"/>
    <s v="C10228"/>
    <x v="1"/>
    <n v="58"/>
    <s v="Single"/>
    <s v="Non Graduate"/>
    <x v="0"/>
    <n v="590826"/>
    <n v="665"/>
    <n v="1205475"/>
    <n v="48"/>
    <n v="12.01"/>
    <x v="4"/>
    <x v="4"/>
    <x v="0"/>
    <n v="28130.26"/>
    <n v="805464.12"/>
    <x v="0"/>
    <d v="2024-12-02T00:00:00"/>
  </r>
  <r>
    <s v="L00228"/>
    <s v="C10229"/>
    <x v="0"/>
    <n v="40"/>
    <s v="Single"/>
    <s v="Non Graduate"/>
    <x v="1"/>
    <n v="504797"/>
    <n v="823"/>
    <n v="1214299"/>
    <n v="48"/>
    <n v="7.64"/>
    <x v="4"/>
    <x v="3"/>
    <x v="0"/>
    <n v="27230.66"/>
    <n v="1005582.1"/>
    <x v="0"/>
    <d v="2024-06-22T00:00:00"/>
  </r>
  <r>
    <s v="L00229"/>
    <s v="C10230"/>
    <x v="0"/>
    <n v="24"/>
    <s v="Married"/>
    <s v="Non Graduate"/>
    <x v="0"/>
    <n v="925451"/>
    <n v="579"/>
    <n v="1854866"/>
    <n v="24"/>
    <n v="13.23"/>
    <x v="2"/>
    <x v="0"/>
    <x v="0"/>
    <n v="87511.03"/>
    <n v="1614472.56"/>
    <x v="0"/>
    <d v="2024-10-01T00:00:00"/>
  </r>
  <r>
    <s v="L00230"/>
    <s v="C10231"/>
    <x v="0"/>
    <n v="49"/>
    <s v="Single"/>
    <s v="Non Graduate"/>
    <x v="1"/>
    <n v="377932"/>
    <n v="591"/>
    <n v="1029560"/>
    <n v="12"/>
    <n v="13.25"/>
    <x v="1"/>
    <x v="1"/>
    <x v="1"/>
    <n v="97164.72"/>
    <n v="713272.21"/>
    <x v="0"/>
    <d v="2024-01-05T00:00:00"/>
  </r>
  <r>
    <s v="L00231"/>
    <s v="C10232"/>
    <x v="0"/>
    <n v="44"/>
    <s v="Single"/>
    <s v="Non Graduate"/>
    <x v="0"/>
    <n v="1900365"/>
    <n v="588"/>
    <n v="1771807"/>
    <n v="240"/>
    <n v="7.63"/>
    <x v="0"/>
    <x v="4"/>
    <x v="1"/>
    <n v="7945.82"/>
    <n v="1239392.25"/>
    <x v="0"/>
    <d v="2025-05-05T00:00:00"/>
  </r>
  <r>
    <s v="L00232"/>
    <s v="C10233"/>
    <x v="0"/>
    <n v="22"/>
    <s v="Married"/>
    <s v="Graduate"/>
    <x v="1"/>
    <n v="1266824"/>
    <n v="608"/>
    <n v="904119"/>
    <n v="240"/>
    <n v="12.79"/>
    <x v="0"/>
    <x v="5"/>
    <x v="1"/>
    <n v="4248.9799999999996"/>
    <n v="409362.49"/>
    <x v="0"/>
    <d v="2025-08-05T00:00:00"/>
  </r>
  <r>
    <s v="L00233"/>
    <s v="C10234"/>
    <x v="0"/>
    <n v="28"/>
    <s v="Married"/>
    <s v="Non Graduate"/>
    <x v="1"/>
    <n v="480184"/>
    <n v="648"/>
    <n v="1612932"/>
    <n v="24"/>
    <n v="11.17"/>
    <x v="1"/>
    <x v="2"/>
    <x v="0"/>
    <n v="74712.350000000006"/>
    <n v="726681.77"/>
    <x v="0"/>
    <d v="2025-07-19T00:00:00"/>
  </r>
  <r>
    <s v="L00234"/>
    <s v="C10235"/>
    <x v="0"/>
    <n v="21"/>
    <s v="Single"/>
    <s v="Non Graduate"/>
    <x v="1"/>
    <n v="614946"/>
    <n v="625"/>
    <n v="1674644"/>
    <n v="84"/>
    <n v="10.130000000000001"/>
    <x v="2"/>
    <x v="2"/>
    <x v="0"/>
    <n v="21955.78"/>
    <n v="380501.09"/>
    <x v="0"/>
    <d v="2024-09-24T00:00:00"/>
  </r>
  <r>
    <s v="L00235"/>
    <s v="C10236"/>
    <x v="0"/>
    <n v="50"/>
    <s v="Married"/>
    <s v="Non Graduate"/>
    <x v="0"/>
    <n v="608235"/>
    <n v="800"/>
    <n v="1714481"/>
    <n v="120"/>
    <n v="10.56"/>
    <x v="1"/>
    <x v="3"/>
    <x v="0"/>
    <n v="15796.08"/>
    <n v="1665715.84"/>
    <x v="0"/>
    <d v="2025-10-25T00:00:00"/>
  </r>
  <r>
    <s v="L00236"/>
    <s v="C10237"/>
    <x v="0"/>
    <n v="33"/>
    <s v="Married"/>
    <s v="Graduate"/>
    <x v="1"/>
    <n v="1106135"/>
    <n v="707"/>
    <n v="992222"/>
    <n v="36"/>
    <n v="14.77"/>
    <x v="0"/>
    <x v="0"/>
    <x v="0"/>
    <n v="31632.59"/>
    <n v="849198.09"/>
    <x v="0"/>
    <d v="2024-01-26T00:00:00"/>
  </r>
  <r>
    <s v="L00237"/>
    <s v="C10238"/>
    <x v="0"/>
    <n v="22"/>
    <s v="Married"/>
    <s v="Graduate"/>
    <x v="0"/>
    <n v="1325811"/>
    <n v="786"/>
    <n v="297084"/>
    <n v="12"/>
    <n v="7.72"/>
    <x v="1"/>
    <x v="4"/>
    <x v="0"/>
    <n v="26668.240000000002"/>
    <n v="280079.21999999997"/>
    <x v="0"/>
    <d v="2024-01-13T00:00:00"/>
  </r>
  <r>
    <s v="L00238"/>
    <s v="C10239"/>
    <x v="0"/>
    <n v="23"/>
    <s v="Single"/>
    <s v="Graduate"/>
    <x v="0"/>
    <n v="1067657"/>
    <n v="617"/>
    <n v="1640284"/>
    <n v="180"/>
    <n v="13.52"/>
    <x v="3"/>
    <x v="4"/>
    <x v="0"/>
    <n v="10344.719999999999"/>
    <n v="352061.69"/>
    <x v="0"/>
    <d v="2024-07-06T00:00:00"/>
  </r>
  <r>
    <s v="L00239"/>
    <s v="C10240"/>
    <x v="0"/>
    <n v="39"/>
    <s v="Married"/>
    <s v="Non Graduate"/>
    <x v="1"/>
    <n v="1622523"/>
    <n v="554"/>
    <n v="542989"/>
    <n v="60"/>
    <n v="7.61"/>
    <x v="4"/>
    <x v="3"/>
    <x v="0"/>
    <n v="9738.51"/>
    <n v="461286.14"/>
    <x v="0"/>
    <d v="2025-06-09T00:00:00"/>
  </r>
  <r>
    <s v="L00240"/>
    <s v="C10241"/>
    <x v="1"/>
    <n v="53"/>
    <s v="Married"/>
    <s v="Non Graduate"/>
    <x v="0"/>
    <n v="989851"/>
    <n v="710"/>
    <n v="1992331"/>
    <n v="180"/>
    <n v="9.07"/>
    <x v="4"/>
    <x v="5"/>
    <x v="0"/>
    <n v="12072.42"/>
    <n v="898803.58"/>
    <x v="0"/>
    <d v="2024-09-24T00:00:00"/>
  </r>
  <r>
    <s v="L00241"/>
    <s v="C10242"/>
    <x v="0"/>
    <n v="42"/>
    <s v="Married"/>
    <s v="Graduate"/>
    <x v="1"/>
    <n v="1571240"/>
    <n v="608"/>
    <n v="1198493"/>
    <n v="84"/>
    <n v="10.41"/>
    <x v="0"/>
    <x v="4"/>
    <x v="1"/>
    <n v="15753.05"/>
    <n v="424136.54"/>
    <x v="0"/>
    <d v="2025-07-05T00:00:00"/>
  </r>
  <r>
    <s v="L00242"/>
    <s v="C10243"/>
    <x v="1"/>
    <n v="59"/>
    <s v="Single"/>
    <s v="Graduate"/>
    <x v="1"/>
    <n v="1291214"/>
    <n v="613"/>
    <n v="306236"/>
    <n v="48"/>
    <n v="9.27"/>
    <x v="1"/>
    <x v="3"/>
    <x v="0"/>
    <n v="6971.33"/>
    <n v="116625.31"/>
    <x v="0"/>
    <d v="2025-11-21T00:00:00"/>
  </r>
  <r>
    <s v="L00243"/>
    <s v="C10244"/>
    <x v="0"/>
    <n v="27"/>
    <s v="Married"/>
    <s v="Non Graduate"/>
    <x v="0"/>
    <n v="742326"/>
    <n v="700"/>
    <n v="1761069"/>
    <n v="60"/>
    <n v="13.83"/>
    <x v="0"/>
    <x v="0"/>
    <x v="0"/>
    <n v="33410.410000000003"/>
    <n v="1105610.75"/>
    <x v="0"/>
    <d v="2024-05-30T00:00:00"/>
  </r>
  <r>
    <s v="L00244"/>
    <s v="C10245"/>
    <x v="0"/>
    <n v="58"/>
    <s v="Married"/>
    <s v="Graduate"/>
    <x v="0"/>
    <n v="1448318"/>
    <n v="826"/>
    <n v="1407761"/>
    <n v="48"/>
    <n v="8.52"/>
    <x v="2"/>
    <x v="3"/>
    <x v="0"/>
    <n v="31827.13"/>
    <n v="259164.09"/>
    <x v="0"/>
    <d v="2025-11-04T00:00:00"/>
  </r>
  <r>
    <s v="L00245"/>
    <s v="C10246"/>
    <x v="1"/>
    <n v="55"/>
    <s v="Single"/>
    <s v="Graduate"/>
    <x v="0"/>
    <n v="812537"/>
    <n v="608"/>
    <n v="1591977"/>
    <n v="12"/>
    <n v="12.33"/>
    <x v="3"/>
    <x v="4"/>
    <x v="0"/>
    <n v="149022.31"/>
    <n v="167106.39000000001"/>
    <x v="0"/>
    <d v="2024-01-05T00:00:00"/>
  </r>
  <r>
    <s v="L00246"/>
    <s v="C10247"/>
    <x v="0"/>
    <n v="32"/>
    <s v="Single"/>
    <s v="Non Graduate"/>
    <x v="1"/>
    <n v="1314396"/>
    <n v="692"/>
    <n v="314100"/>
    <n v="120"/>
    <n v="7.53"/>
    <x v="2"/>
    <x v="3"/>
    <x v="0"/>
    <n v="2814.6"/>
    <n v="56203.8"/>
    <x v="0"/>
    <d v="2024-08-20T00:00:00"/>
  </r>
  <r>
    <s v="L00247"/>
    <s v="C10248"/>
    <x v="0"/>
    <n v="37"/>
    <s v="Single"/>
    <s v="Non Graduate"/>
    <x v="0"/>
    <n v="1908676"/>
    <n v="727"/>
    <n v="1927900"/>
    <n v="48"/>
    <n v="12.85"/>
    <x v="1"/>
    <x v="1"/>
    <x v="0"/>
    <n v="45325.73"/>
    <n v="1876937.58"/>
    <x v="0"/>
    <d v="2025-07-06T00:00:00"/>
  </r>
  <r>
    <s v="L00248"/>
    <s v="C10249"/>
    <x v="0"/>
    <n v="53"/>
    <s v="Married"/>
    <s v="Graduate"/>
    <x v="1"/>
    <n v="420157"/>
    <n v="689"/>
    <n v="641784"/>
    <n v="60"/>
    <n v="11.51"/>
    <x v="3"/>
    <x v="0"/>
    <x v="0"/>
    <n v="11927.56"/>
    <n v="614882.13"/>
    <x v="0"/>
    <d v="2025-11-25T00:00:00"/>
  </r>
  <r>
    <s v="L00249"/>
    <s v="C10250"/>
    <x v="1"/>
    <n v="36"/>
    <s v="Single"/>
    <s v="Graduate"/>
    <x v="1"/>
    <n v="472875"/>
    <n v="787"/>
    <n v="1575166"/>
    <n v="240"/>
    <n v="7.54"/>
    <x v="2"/>
    <x v="0"/>
    <x v="0"/>
    <n v="7058.06"/>
    <n v="261393.24"/>
    <x v="0"/>
    <d v="2025-01-15T00:00:00"/>
  </r>
  <r>
    <s v="L00250"/>
    <s v="C10251"/>
    <x v="0"/>
    <n v="51"/>
    <s v="Married"/>
    <s v="Non Graduate"/>
    <x v="1"/>
    <n v="1429564"/>
    <n v="662"/>
    <n v="586527"/>
    <n v="60"/>
    <n v="12.14"/>
    <x v="1"/>
    <x v="2"/>
    <x v="0"/>
    <n v="10962.19"/>
    <n v="493200.28"/>
    <x v="0"/>
    <d v="2025-09-09T00:00:00"/>
  </r>
  <r>
    <s v="L00251"/>
    <s v="C10252"/>
    <x v="1"/>
    <n v="34"/>
    <s v="Single"/>
    <s v="Graduate"/>
    <x v="1"/>
    <n v="1166640"/>
    <n v="699"/>
    <n v="708348"/>
    <n v="84"/>
    <n v="13.43"/>
    <x v="4"/>
    <x v="4"/>
    <x v="0"/>
    <n v="9565.23"/>
    <n v="585561.53"/>
    <x v="0"/>
    <d v="2025-07-20T00:00:00"/>
  </r>
  <r>
    <s v="L00252"/>
    <s v="C10253"/>
    <x v="1"/>
    <n v="25"/>
    <s v="Single"/>
    <s v="Graduate"/>
    <x v="1"/>
    <n v="1800013"/>
    <n v="789"/>
    <n v="1783470"/>
    <n v="60"/>
    <n v="10.199999999999999"/>
    <x v="0"/>
    <x v="2"/>
    <x v="0"/>
    <n v="32756.400000000001"/>
    <n v="741149.54"/>
    <x v="0"/>
    <d v="2024-10-04T00:00:00"/>
  </r>
  <r>
    <s v="L00253"/>
    <s v="C10254"/>
    <x v="1"/>
    <n v="59"/>
    <s v="Single"/>
    <s v="Non Graduate"/>
    <x v="0"/>
    <n v="1487929"/>
    <n v="630"/>
    <n v="1468570"/>
    <n v="60"/>
    <n v="12.76"/>
    <x v="0"/>
    <x v="1"/>
    <x v="1"/>
    <n v="27599.33"/>
    <n v="1164086.0900000001"/>
    <x v="0"/>
    <d v="2025-01-02T00:00:00"/>
  </r>
  <r>
    <s v="L00254"/>
    <s v="C10255"/>
    <x v="0"/>
    <n v="45"/>
    <s v="Married"/>
    <s v="Non Graduate"/>
    <x v="0"/>
    <n v="1429225"/>
    <n v="749"/>
    <n v="547086"/>
    <n v="36"/>
    <n v="8.7100000000000009"/>
    <x v="0"/>
    <x v="4"/>
    <x v="0"/>
    <n v="16520.48"/>
    <n v="372575.53"/>
    <x v="0"/>
    <d v="2025-05-13T00:00:00"/>
  </r>
  <r>
    <s v="L00255"/>
    <s v="C10256"/>
    <x v="0"/>
    <n v="28"/>
    <s v="Married"/>
    <s v="Non Graduate"/>
    <x v="1"/>
    <n v="565146"/>
    <n v="581"/>
    <n v="1933803"/>
    <n v="180"/>
    <n v="14.45"/>
    <x v="0"/>
    <x v="0"/>
    <x v="1"/>
    <n v="12295.76"/>
    <n v="1397690.44"/>
    <x v="0"/>
    <d v="2024-06-25T00:00:00"/>
  </r>
  <r>
    <s v="L00256"/>
    <s v="C10257"/>
    <x v="1"/>
    <n v="50"/>
    <s v="Single"/>
    <s v="Graduate"/>
    <x v="1"/>
    <n v="1218099"/>
    <n v="632"/>
    <n v="1587200"/>
    <n v="180"/>
    <n v="9.99"/>
    <x v="2"/>
    <x v="0"/>
    <x v="0"/>
    <n v="9698.67"/>
    <n v="662697.02"/>
    <x v="0"/>
    <d v="2024-06-13T00:00:00"/>
  </r>
  <r>
    <s v="L00257"/>
    <s v="C10258"/>
    <x v="1"/>
    <n v="39"/>
    <s v="Single"/>
    <s v="Non Graduate"/>
    <x v="0"/>
    <n v="1417861"/>
    <n v="736"/>
    <n v="500406"/>
    <n v="60"/>
    <n v="10.84"/>
    <x v="0"/>
    <x v="3"/>
    <x v="0"/>
    <n v="9244.17"/>
    <n v="151990.20000000001"/>
    <x v="0"/>
    <d v="2024-09-06T00:00:00"/>
  </r>
  <r>
    <s v="L00258"/>
    <s v="C10259"/>
    <x v="0"/>
    <n v="32"/>
    <s v="Married"/>
    <s v="Graduate"/>
    <x v="0"/>
    <n v="1502606"/>
    <n v="658"/>
    <n v="894312"/>
    <n v="36"/>
    <n v="7.7"/>
    <x v="1"/>
    <x v="5"/>
    <x v="0"/>
    <n v="26754.83"/>
    <n v="195143.83"/>
    <x v="0"/>
    <d v="2024-12-01T00:00:00"/>
  </r>
  <r>
    <s v="L00259"/>
    <s v="C10260"/>
    <x v="1"/>
    <n v="51"/>
    <s v="Married"/>
    <s v="Graduate"/>
    <x v="0"/>
    <n v="440047"/>
    <n v="721"/>
    <n v="1373614"/>
    <n v="48"/>
    <n v="7.96"/>
    <x v="1"/>
    <x v="1"/>
    <x v="0"/>
    <n v="30894.87"/>
    <n v="645789.63"/>
    <x v="0"/>
    <d v="2025-03-18T00:00:00"/>
  </r>
  <r>
    <s v="L00260"/>
    <s v="C10261"/>
    <x v="1"/>
    <n v="34"/>
    <s v="Married"/>
    <s v="Non Graduate"/>
    <x v="1"/>
    <n v="361857"/>
    <n v="759"/>
    <n v="1738525"/>
    <n v="84"/>
    <n v="10.43"/>
    <x v="1"/>
    <x v="2"/>
    <x v="0"/>
    <n v="22855.39"/>
    <n v="1168511.4099999999"/>
    <x v="0"/>
    <d v="2024-02-28T00:00:00"/>
  </r>
  <r>
    <s v="L00261"/>
    <s v="C10262"/>
    <x v="1"/>
    <n v="46"/>
    <s v="Single"/>
    <s v="Non Graduate"/>
    <x v="0"/>
    <n v="709899"/>
    <n v="783"/>
    <n v="1726270"/>
    <n v="180"/>
    <n v="8.36"/>
    <x v="2"/>
    <x v="2"/>
    <x v="0"/>
    <n v="10392.15"/>
    <n v="1568552.3"/>
    <x v="0"/>
    <d v="2024-03-14T00:00:00"/>
  </r>
  <r>
    <s v="L00262"/>
    <s v="C10263"/>
    <x v="0"/>
    <n v="54"/>
    <s v="Single"/>
    <s v="Graduate"/>
    <x v="1"/>
    <n v="516357"/>
    <n v="595"/>
    <n v="248987"/>
    <n v="48"/>
    <n v="14.85"/>
    <x v="0"/>
    <x v="4"/>
    <x v="1"/>
    <n v="5957.53"/>
    <n v="105667.12"/>
    <x v="0"/>
    <d v="2024-05-28T00:00:00"/>
  </r>
  <r>
    <s v="L00263"/>
    <s v="C10264"/>
    <x v="1"/>
    <n v="56"/>
    <s v="Married"/>
    <s v="Graduate"/>
    <x v="0"/>
    <n v="1247500"/>
    <n v="681"/>
    <n v="1625358"/>
    <n v="180"/>
    <n v="15.14"/>
    <x v="0"/>
    <x v="5"/>
    <x v="0"/>
    <n v="10396.870000000001"/>
    <n v="342929.79"/>
    <x v="0"/>
    <d v="2024-05-06T00:00:00"/>
  </r>
  <r>
    <s v="L00264"/>
    <s v="C10265"/>
    <x v="0"/>
    <n v="46"/>
    <s v="Married"/>
    <s v="Graduate"/>
    <x v="1"/>
    <n v="1301701"/>
    <n v="813"/>
    <n v="788242"/>
    <n v="60"/>
    <n v="8.82"/>
    <x v="0"/>
    <x v="4"/>
    <x v="0"/>
    <n v="14296.08"/>
    <n v="461424.87"/>
    <x v="0"/>
    <d v="2024-10-25T00:00:00"/>
  </r>
  <r>
    <s v="L00265"/>
    <s v="C10266"/>
    <x v="0"/>
    <n v="53"/>
    <s v="Married"/>
    <s v="Graduate"/>
    <x v="0"/>
    <n v="1011153"/>
    <n v="812"/>
    <n v="1367714"/>
    <n v="24"/>
    <n v="13.98"/>
    <x v="0"/>
    <x v="0"/>
    <x v="0"/>
    <n v="64955.02"/>
    <n v="466860.38"/>
    <x v="0"/>
    <d v="2024-12-14T00:00:00"/>
  </r>
  <r>
    <s v="L00266"/>
    <s v="C10267"/>
    <x v="1"/>
    <n v="28"/>
    <s v="Married"/>
    <s v="Graduate"/>
    <x v="1"/>
    <n v="617314"/>
    <n v="838"/>
    <n v="1577876"/>
    <n v="24"/>
    <n v="8.66"/>
    <x v="1"/>
    <x v="2"/>
    <x v="0"/>
    <n v="71438.34"/>
    <n v="1547479.47"/>
    <x v="0"/>
    <d v="2024-02-17T00:00:00"/>
  </r>
  <r>
    <s v="L00267"/>
    <s v="C10268"/>
    <x v="0"/>
    <n v="46"/>
    <s v="Married"/>
    <s v="Non Graduate"/>
    <x v="1"/>
    <n v="1900105"/>
    <n v="756"/>
    <n v="107143"/>
    <n v="84"/>
    <n v="15.26"/>
    <x v="1"/>
    <x v="2"/>
    <x v="0"/>
    <n v="1470.16"/>
    <n v="106460.3"/>
    <x v="0"/>
    <d v="2024-12-07T00:00:00"/>
  </r>
  <r>
    <s v="L00268"/>
    <s v="C10269"/>
    <x v="0"/>
    <n v="56"/>
    <s v="Single"/>
    <s v="Graduate"/>
    <x v="0"/>
    <n v="1481071"/>
    <n v="662"/>
    <n v="411704"/>
    <n v="36"/>
    <n v="12.52"/>
    <x v="4"/>
    <x v="2"/>
    <x v="0"/>
    <n v="12868.04"/>
    <n v="148809.04"/>
    <x v="0"/>
    <d v="2024-10-06T00:00:00"/>
  </r>
  <r>
    <s v="L00269"/>
    <s v="C10270"/>
    <x v="1"/>
    <n v="26"/>
    <s v="Married"/>
    <s v="Graduate"/>
    <x v="0"/>
    <n v="1462173"/>
    <n v="831"/>
    <n v="1414496"/>
    <n v="48"/>
    <n v="14.85"/>
    <x v="1"/>
    <x v="1"/>
    <x v="0"/>
    <n v="33844.76"/>
    <n v="220232.75"/>
    <x v="0"/>
    <d v="2024-02-24T00:00:00"/>
  </r>
  <r>
    <s v="L00270"/>
    <s v="C10271"/>
    <x v="1"/>
    <n v="31"/>
    <s v="Married"/>
    <s v="Graduate"/>
    <x v="0"/>
    <n v="332511"/>
    <n v="850"/>
    <n v="196806"/>
    <n v="12"/>
    <n v="11.48"/>
    <x v="3"/>
    <x v="5"/>
    <x v="1"/>
    <n v="18283.28"/>
    <n v="150325.51"/>
    <x v="0"/>
    <d v="2025-10-19T00:00:00"/>
  </r>
  <r>
    <s v="L00271"/>
    <s v="C10272"/>
    <x v="1"/>
    <n v="29"/>
    <s v="Single"/>
    <s v="Graduate"/>
    <x v="0"/>
    <n v="1543761"/>
    <n v="671"/>
    <n v="661813"/>
    <n v="12"/>
    <n v="11.74"/>
    <x v="1"/>
    <x v="0"/>
    <x v="0"/>
    <n v="61625.82"/>
    <n v="87295.74"/>
    <x v="0"/>
    <d v="2024-07-24T00:00:00"/>
  </r>
  <r>
    <s v="L00272"/>
    <s v="C10273"/>
    <x v="1"/>
    <n v="44"/>
    <s v="Single"/>
    <s v="Graduate"/>
    <x v="0"/>
    <n v="1177269"/>
    <n v="571"/>
    <n v="1815896"/>
    <n v="24"/>
    <n v="12.81"/>
    <x v="0"/>
    <x v="0"/>
    <x v="1"/>
    <n v="85354.68"/>
    <n v="286022.95"/>
    <x v="0"/>
    <d v="2025-12-20T00:00:00"/>
  </r>
  <r>
    <s v="L00273"/>
    <s v="C10274"/>
    <x v="0"/>
    <n v="52"/>
    <s v="Married"/>
    <s v="Non Graduate"/>
    <x v="1"/>
    <n v="1697464"/>
    <n v="623"/>
    <n v="1476922"/>
    <n v="36"/>
    <n v="13.82"/>
    <x v="2"/>
    <x v="2"/>
    <x v="1"/>
    <n v="46695.35"/>
    <n v="968041.38"/>
    <x v="0"/>
    <d v="2024-08-16T00:00:00"/>
  </r>
  <r>
    <s v="L00274"/>
    <s v="C10275"/>
    <x v="0"/>
    <n v="46"/>
    <s v="Single"/>
    <s v="Non Graduate"/>
    <x v="1"/>
    <n v="1544013"/>
    <n v="697"/>
    <n v="1208165"/>
    <n v="12"/>
    <n v="12.68"/>
    <x v="1"/>
    <x v="2"/>
    <x v="0"/>
    <n v="113446.69"/>
    <n v="828784.6"/>
    <x v="0"/>
    <d v="2025-12-21T00:00:00"/>
  </r>
  <r>
    <s v="L00275"/>
    <s v="C10276"/>
    <x v="0"/>
    <n v="46"/>
    <s v="Single"/>
    <s v="Non Graduate"/>
    <x v="0"/>
    <n v="1429131"/>
    <n v="846"/>
    <n v="378867"/>
    <n v="12"/>
    <n v="13.84"/>
    <x v="4"/>
    <x v="0"/>
    <x v="0"/>
    <n v="35941.85"/>
    <n v="261823.55"/>
    <x v="0"/>
    <d v="2024-05-30T00:00:00"/>
  </r>
  <r>
    <s v="L00276"/>
    <s v="C10277"/>
    <x v="0"/>
    <n v="60"/>
    <s v="Married"/>
    <s v="Graduate"/>
    <x v="1"/>
    <n v="976372"/>
    <n v="585"/>
    <n v="320803"/>
    <n v="240"/>
    <n v="15.25"/>
    <x v="1"/>
    <x v="3"/>
    <x v="0"/>
    <n v="1540.52"/>
    <n v="289685.52"/>
    <x v="1"/>
    <d v="2024-01-20T00:00:00"/>
  </r>
  <r>
    <s v="L00277"/>
    <s v="C10278"/>
    <x v="1"/>
    <n v="48"/>
    <s v="Married"/>
    <s v="Graduate"/>
    <x v="0"/>
    <n v="1577165"/>
    <n v="670"/>
    <n v="1649883"/>
    <n v="36"/>
    <n v="10.24"/>
    <x v="3"/>
    <x v="2"/>
    <x v="0"/>
    <n v="50523.08"/>
    <n v="458428.84"/>
    <x v="0"/>
    <d v="2024-11-02T00:00:00"/>
  </r>
  <r>
    <s v="L00278"/>
    <s v="C10279"/>
    <x v="0"/>
    <n v="33"/>
    <s v="Single"/>
    <s v="Non Graduate"/>
    <x v="1"/>
    <n v="1311993"/>
    <n v="672"/>
    <n v="1127200"/>
    <n v="180"/>
    <n v="12.25"/>
    <x v="2"/>
    <x v="3"/>
    <x v="0"/>
    <n v="7029.34"/>
    <n v="309231.5"/>
    <x v="0"/>
    <d v="2025-06-04T00:00:00"/>
  </r>
  <r>
    <s v="L00279"/>
    <s v="C10280"/>
    <x v="1"/>
    <n v="21"/>
    <s v="Single"/>
    <s v="Non Graduate"/>
    <x v="1"/>
    <n v="737970"/>
    <n v="621"/>
    <n v="496646"/>
    <n v="120"/>
    <n v="13.84"/>
    <x v="3"/>
    <x v="3"/>
    <x v="1"/>
    <n v="4711.5200000000004"/>
    <n v="468488.83"/>
    <x v="0"/>
    <d v="2024-12-17T00:00:00"/>
  </r>
  <r>
    <s v="L00280"/>
    <s v="C10281"/>
    <x v="1"/>
    <n v="28"/>
    <s v="Single"/>
    <s v="Non Graduate"/>
    <x v="0"/>
    <n v="1412670"/>
    <n v="791"/>
    <n v="1546759"/>
    <n v="12"/>
    <n v="10.5"/>
    <x v="0"/>
    <x v="5"/>
    <x v="0"/>
    <n v="142430.72"/>
    <n v="521085.72"/>
    <x v="0"/>
    <d v="2025-04-12T00:00:00"/>
  </r>
  <r>
    <s v="L00281"/>
    <s v="C10282"/>
    <x v="0"/>
    <n v="35"/>
    <s v="Single"/>
    <s v="Graduate"/>
    <x v="0"/>
    <n v="764967"/>
    <n v="753"/>
    <n v="1691500"/>
    <n v="12"/>
    <n v="14.48"/>
    <x v="2"/>
    <x v="3"/>
    <x v="0"/>
    <n v="161369.1"/>
    <n v="952231.14"/>
    <x v="0"/>
    <d v="2024-10-17T00:00:00"/>
  </r>
  <r>
    <s v="L00282"/>
    <s v="C10283"/>
    <x v="0"/>
    <n v="55"/>
    <s v="Married"/>
    <s v="Graduate"/>
    <x v="1"/>
    <n v="1915059"/>
    <n v="683"/>
    <n v="1043132"/>
    <n v="60"/>
    <n v="9.41"/>
    <x v="4"/>
    <x v="5"/>
    <x v="0"/>
    <n v="19021.509999999998"/>
    <n v="1010700.05"/>
    <x v="0"/>
    <d v="2024-08-24T00:00:00"/>
  </r>
  <r>
    <s v="L00283"/>
    <s v="C10284"/>
    <x v="0"/>
    <n v="43"/>
    <s v="Married"/>
    <s v="Graduate"/>
    <x v="1"/>
    <n v="760938"/>
    <n v="666"/>
    <n v="1637764"/>
    <n v="240"/>
    <n v="12.63"/>
    <x v="3"/>
    <x v="2"/>
    <x v="0"/>
    <n v="7685.89"/>
    <n v="1376723.45"/>
    <x v="0"/>
    <d v="2024-02-21T00:00:00"/>
  </r>
  <r>
    <s v="L00284"/>
    <s v="C10285"/>
    <x v="0"/>
    <n v="23"/>
    <s v="Married"/>
    <s v="Non Graduate"/>
    <x v="1"/>
    <n v="1880772"/>
    <n v="720"/>
    <n v="1201039"/>
    <n v="12"/>
    <n v="13.08"/>
    <x v="2"/>
    <x v="5"/>
    <x v="0"/>
    <n v="113177.91"/>
    <n v="159373.6"/>
    <x v="0"/>
    <d v="2024-06-14T00:00:00"/>
  </r>
  <r>
    <s v="L00285"/>
    <s v="C10286"/>
    <x v="1"/>
    <n v="35"/>
    <s v="Married"/>
    <s v="Non Graduate"/>
    <x v="1"/>
    <n v="1214539"/>
    <n v="586"/>
    <n v="297973"/>
    <n v="48"/>
    <n v="14.05"/>
    <x v="0"/>
    <x v="1"/>
    <x v="1"/>
    <n v="7079.96"/>
    <n v="54297.97"/>
    <x v="0"/>
    <d v="2025-09-18T00:00:00"/>
  </r>
  <r>
    <s v="L00286"/>
    <s v="C10287"/>
    <x v="0"/>
    <n v="58"/>
    <s v="Married"/>
    <s v="Non Graduate"/>
    <x v="0"/>
    <n v="1584414"/>
    <n v="704"/>
    <n v="1045902"/>
    <n v="240"/>
    <n v="10.97"/>
    <x v="0"/>
    <x v="2"/>
    <x v="0"/>
    <n v="4835.99"/>
    <n v="632491.41"/>
    <x v="0"/>
    <d v="2024-02-05T00:00:00"/>
  </r>
  <r>
    <s v="L00287"/>
    <s v="C10288"/>
    <x v="1"/>
    <n v="45"/>
    <s v="Married"/>
    <s v="Non Graduate"/>
    <x v="1"/>
    <n v="586469"/>
    <n v="591"/>
    <n v="239611"/>
    <n v="24"/>
    <n v="10.41"/>
    <x v="3"/>
    <x v="2"/>
    <x v="1"/>
    <n v="11023.1"/>
    <n v="77027.039999999994"/>
    <x v="0"/>
    <d v="2025-06-01T00:00:00"/>
  </r>
  <r>
    <s v="L00288"/>
    <s v="C10289"/>
    <x v="1"/>
    <n v="23"/>
    <s v="Married"/>
    <s v="Non Graduate"/>
    <x v="0"/>
    <n v="314490"/>
    <n v="819"/>
    <n v="1410527"/>
    <n v="12"/>
    <n v="8.34"/>
    <x v="4"/>
    <x v="0"/>
    <x v="0"/>
    <n v="127347.08"/>
    <n v="846294.61"/>
    <x v="0"/>
    <d v="2024-12-29T00:00:00"/>
  </r>
  <r>
    <s v="L00289"/>
    <s v="C10290"/>
    <x v="1"/>
    <n v="40"/>
    <s v="Married"/>
    <s v="Non Graduate"/>
    <x v="1"/>
    <n v="1860304"/>
    <n v="834"/>
    <n v="1442768"/>
    <n v="84"/>
    <n v="13.84"/>
    <x v="3"/>
    <x v="2"/>
    <x v="0"/>
    <n v="19552.939999999999"/>
    <n v="728062.78"/>
    <x v="0"/>
    <d v="2024-03-21T00:00:00"/>
  </r>
  <r>
    <s v="L00290"/>
    <s v="C10291"/>
    <x v="1"/>
    <n v="31"/>
    <s v="Single"/>
    <s v="Non Graduate"/>
    <x v="1"/>
    <n v="1932640"/>
    <n v="616"/>
    <n v="773023"/>
    <n v="60"/>
    <n v="11.89"/>
    <x v="2"/>
    <x v="5"/>
    <x v="1"/>
    <n v="14415.59"/>
    <n v="385559.56"/>
    <x v="0"/>
    <d v="2024-03-29T00:00:00"/>
  </r>
  <r>
    <s v="L00291"/>
    <s v="C10292"/>
    <x v="0"/>
    <n v="38"/>
    <s v="Single"/>
    <s v="Graduate"/>
    <x v="0"/>
    <n v="836200"/>
    <n v="639"/>
    <n v="1400514"/>
    <n v="120"/>
    <n v="14.87"/>
    <x v="4"/>
    <x v="1"/>
    <x v="1"/>
    <n v="13406.42"/>
    <n v="1272487.06"/>
    <x v="0"/>
    <d v="2024-09-29T00:00:00"/>
  </r>
  <r>
    <s v="L00292"/>
    <s v="C10293"/>
    <x v="0"/>
    <n v="30"/>
    <s v="Single"/>
    <s v="Non Graduate"/>
    <x v="0"/>
    <n v="648717"/>
    <n v="796"/>
    <n v="1373069"/>
    <n v="36"/>
    <n v="9.44"/>
    <x v="2"/>
    <x v="3"/>
    <x v="0"/>
    <n v="41741.300000000003"/>
    <n v="1190274.44"/>
    <x v="0"/>
    <d v="2025-10-30T00:00:00"/>
  </r>
  <r>
    <s v="L00293"/>
    <s v="C10294"/>
    <x v="0"/>
    <n v="21"/>
    <s v="Married"/>
    <s v="Graduate"/>
    <x v="1"/>
    <n v="1535248"/>
    <n v="733"/>
    <n v="1434827"/>
    <n v="84"/>
    <n v="9.52"/>
    <x v="1"/>
    <x v="1"/>
    <x v="0"/>
    <n v="18707.41"/>
    <n v="904854.65"/>
    <x v="0"/>
    <d v="2024-03-21T00:00:00"/>
  </r>
  <r>
    <s v="L00294"/>
    <s v="C10295"/>
    <x v="1"/>
    <n v="30"/>
    <s v="Married"/>
    <s v="Graduate"/>
    <x v="0"/>
    <n v="1802371"/>
    <n v="645"/>
    <n v="293910"/>
    <n v="36"/>
    <n v="13.78"/>
    <x v="4"/>
    <x v="5"/>
    <x v="0"/>
    <n v="9289.19"/>
    <n v="236669.3"/>
    <x v="0"/>
    <d v="2024-07-10T00:00:00"/>
  </r>
  <r>
    <s v="L00295"/>
    <s v="C10296"/>
    <x v="0"/>
    <n v="24"/>
    <s v="Single"/>
    <s v="Graduate"/>
    <x v="1"/>
    <n v="1811818"/>
    <n v="593"/>
    <n v="423885"/>
    <n v="120"/>
    <n v="13.81"/>
    <x v="2"/>
    <x v="5"/>
    <x v="0"/>
    <n v="4020.2"/>
    <n v="124940.07"/>
    <x v="1"/>
    <d v="2024-05-04T00:00:00"/>
  </r>
  <r>
    <s v="L00296"/>
    <s v="C10297"/>
    <x v="0"/>
    <n v="28"/>
    <s v="Single"/>
    <s v="Graduate"/>
    <x v="0"/>
    <n v="1235224"/>
    <n v="814"/>
    <n v="789719"/>
    <n v="24"/>
    <n v="10.6"/>
    <x v="4"/>
    <x v="1"/>
    <x v="0"/>
    <n v="36392.879999999997"/>
    <n v="541613.11"/>
    <x v="0"/>
    <d v="2025-11-10T00:00:00"/>
  </r>
  <r>
    <s v="L00297"/>
    <s v="C10298"/>
    <x v="0"/>
    <n v="44"/>
    <s v="Single"/>
    <s v="Non Graduate"/>
    <x v="0"/>
    <n v="1791384"/>
    <n v="602"/>
    <n v="1193630"/>
    <n v="60"/>
    <n v="11.07"/>
    <x v="3"/>
    <x v="3"/>
    <x v="1"/>
    <n v="22096.080000000002"/>
    <n v="863549.81"/>
    <x v="0"/>
    <d v="2025-01-24T00:00:00"/>
  </r>
  <r>
    <s v="L00298"/>
    <s v="C10299"/>
    <x v="1"/>
    <n v="43"/>
    <s v="Single"/>
    <s v="Graduate"/>
    <x v="0"/>
    <n v="952035"/>
    <n v="768"/>
    <n v="860013"/>
    <n v="48"/>
    <n v="11.19"/>
    <x v="2"/>
    <x v="5"/>
    <x v="0"/>
    <n v="19921.84"/>
    <n v="328300.56"/>
    <x v="0"/>
    <d v="2024-11-24T00:00:00"/>
  </r>
  <r>
    <s v="L00299"/>
    <s v="C10300"/>
    <x v="0"/>
    <n v="44"/>
    <s v="Married"/>
    <s v="Graduate"/>
    <x v="0"/>
    <n v="915512"/>
    <n v="575"/>
    <n v="1891630"/>
    <n v="24"/>
    <n v="14.19"/>
    <x v="3"/>
    <x v="4"/>
    <x v="0"/>
    <n v="90002.18"/>
    <n v="1239414.73"/>
    <x v="1"/>
    <d v="2025-04-15T00:00:00"/>
  </r>
  <r>
    <s v="L00300"/>
    <s v="C10301"/>
    <x v="1"/>
    <n v="23"/>
    <s v="Single"/>
    <s v="Non Graduate"/>
    <x v="0"/>
    <n v="311771"/>
    <n v="682"/>
    <n v="1997509"/>
    <n v="36"/>
    <n v="13.05"/>
    <x v="1"/>
    <x v="1"/>
    <x v="0"/>
    <n v="62727.33"/>
    <n v="1436682.24"/>
    <x v="0"/>
    <d v="2025-10-12T00:00:00"/>
  </r>
  <r>
    <s v="L00301"/>
    <s v="C10302"/>
    <x v="1"/>
    <n v="22"/>
    <s v="Single"/>
    <s v="Non Graduate"/>
    <x v="1"/>
    <n v="1986440"/>
    <n v="712"/>
    <n v="302534"/>
    <n v="60"/>
    <n v="13.16"/>
    <x v="0"/>
    <x v="3"/>
    <x v="0"/>
    <n v="5705.79"/>
    <n v="124103.02"/>
    <x v="0"/>
    <d v="2024-01-31T00:00:00"/>
  </r>
  <r>
    <s v="L00302"/>
    <s v="C10303"/>
    <x v="1"/>
    <n v="28"/>
    <s v="Married"/>
    <s v="Non Graduate"/>
    <x v="1"/>
    <n v="1171876"/>
    <n v="692"/>
    <n v="247687"/>
    <n v="240"/>
    <n v="12.41"/>
    <x v="3"/>
    <x v="3"/>
    <x v="0"/>
    <n v="1160.0999999999999"/>
    <n v="117373.24"/>
    <x v="0"/>
    <d v="2025-12-02T00:00:00"/>
  </r>
  <r>
    <s v="L00303"/>
    <s v="C10304"/>
    <x v="0"/>
    <n v="39"/>
    <s v="Single"/>
    <s v="Graduate"/>
    <x v="1"/>
    <n v="1124184"/>
    <n v="717"/>
    <n v="1341005"/>
    <n v="84"/>
    <n v="15.4"/>
    <x v="3"/>
    <x v="5"/>
    <x v="0"/>
    <n v="18422.849999999999"/>
    <n v="1173523.95"/>
    <x v="0"/>
    <d v="2024-05-13T00:00:00"/>
  </r>
  <r>
    <s v="L00304"/>
    <s v="C10305"/>
    <x v="0"/>
    <n v="37"/>
    <s v="Single"/>
    <s v="Non Graduate"/>
    <x v="0"/>
    <n v="1238334"/>
    <n v="745"/>
    <n v="299269"/>
    <n v="240"/>
    <n v="12.25"/>
    <x v="2"/>
    <x v="0"/>
    <x v="0"/>
    <n v="1399.71"/>
    <n v="248987.1"/>
    <x v="0"/>
    <d v="2024-11-01T00:00:00"/>
  </r>
  <r>
    <s v="L00305"/>
    <s v="C10306"/>
    <x v="0"/>
    <n v="28"/>
    <s v="Single"/>
    <s v="Graduate"/>
    <x v="0"/>
    <n v="1664414"/>
    <n v="819"/>
    <n v="241850"/>
    <n v="240"/>
    <n v="9.6300000000000008"/>
    <x v="0"/>
    <x v="2"/>
    <x v="0"/>
    <n v="1104.75"/>
    <n v="64280.89"/>
    <x v="0"/>
    <d v="2024-12-29T00:00:00"/>
  </r>
  <r>
    <s v="L00306"/>
    <s v="C10307"/>
    <x v="1"/>
    <n v="43"/>
    <s v="Single"/>
    <s v="Graduate"/>
    <x v="0"/>
    <n v="749908"/>
    <n v="729"/>
    <n v="515091"/>
    <n v="84"/>
    <n v="9.39"/>
    <x v="2"/>
    <x v="1"/>
    <x v="0"/>
    <n v="6707.83"/>
    <n v="460694.77"/>
    <x v="0"/>
    <d v="2024-08-26T00:00:00"/>
  </r>
  <r>
    <s v="L00307"/>
    <s v="C10308"/>
    <x v="0"/>
    <n v="41"/>
    <s v="Single"/>
    <s v="Graduate"/>
    <x v="1"/>
    <n v="708113"/>
    <n v="621"/>
    <n v="593426"/>
    <n v="120"/>
    <n v="7.86"/>
    <x v="3"/>
    <x v="3"/>
    <x v="1"/>
    <n v="5333.91"/>
    <n v="527461.36"/>
    <x v="0"/>
    <d v="2025-08-01T00:00:00"/>
  </r>
  <r>
    <s v="L00308"/>
    <s v="C10309"/>
    <x v="1"/>
    <n v="48"/>
    <s v="Single"/>
    <s v="Graduate"/>
    <x v="0"/>
    <n v="821313"/>
    <n v="836"/>
    <n v="1591886"/>
    <n v="48"/>
    <n v="8.3800000000000008"/>
    <x v="4"/>
    <x v="0"/>
    <x v="0"/>
    <n v="35943.46"/>
    <n v="780919.84"/>
    <x v="0"/>
    <d v="2024-11-05T00:00:00"/>
  </r>
  <r>
    <s v="L00309"/>
    <s v="C10310"/>
    <x v="0"/>
    <n v="40"/>
    <s v="Married"/>
    <s v="Non Graduate"/>
    <x v="1"/>
    <n v="1438581"/>
    <n v="638"/>
    <n v="1510878"/>
    <n v="60"/>
    <n v="14.28"/>
    <x v="2"/>
    <x v="0"/>
    <x v="1"/>
    <n v="28777.19"/>
    <n v="547701.22"/>
    <x v="0"/>
    <d v="2025-04-04T00:00:00"/>
  </r>
  <r>
    <s v="L00310"/>
    <s v="C10311"/>
    <x v="0"/>
    <n v="33"/>
    <s v="Single"/>
    <s v="Graduate"/>
    <x v="0"/>
    <n v="1413849"/>
    <n v="670"/>
    <n v="1722512"/>
    <n v="48"/>
    <n v="8.69"/>
    <x v="0"/>
    <x v="0"/>
    <x v="0"/>
    <n v="39004.129999999997"/>
    <n v="247115.93"/>
    <x v="0"/>
    <d v="2025-06-10T00:00:00"/>
  </r>
  <r>
    <s v="L00311"/>
    <s v="C10312"/>
    <x v="0"/>
    <n v="49"/>
    <s v="Married"/>
    <s v="Non Graduate"/>
    <x v="1"/>
    <n v="1660889"/>
    <n v="684"/>
    <n v="1106428"/>
    <n v="24"/>
    <n v="13.15"/>
    <x v="4"/>
    <x v="3"/>
    <x v="0"/>
    <n v="52163.47"/>
    <n v="844277.13"/>
    <x v="0"/>
    <d v="2025-03-15T00:00:00"/>
  </r>
  <r>
    <s v="L00312"/>
    <s v="C10313"/>
    <x v="0"/>
    <n v="56"/>
    <s v="Single"/>
    <s v="Non Graduate"/>
    <x v="0"/>
    <n v="529494"/>
    <n v="578"/>
    <n v="831237"/>
    <n v="48"/>
    <n v="14.39"/>
    <x v="0"/>
    <x v="4"/>
    <x v="1"/>
    <n v="19809.419999999998"/>
    <n v="244129.59"/>
    <x v="0"/>
    <d v="2025-11-09T00:00:00"/>
  </r>
  <r>
    <s v="L00313"/>
    <s v="C10314"/>
    <x v="0"/>
    <n v="49"/>
    <s v="Single"/>
    <s v="Graduate"/>
    <x v="1"/>
    <n v="872603"/>
    <n v="578"/>
    <n v="719618"/>
    <n v="60"/>
    <n v="7.8"/>
    <x v="4"/>
    <x v="5"/>
    <x v="1"/>
    <n v="12929.14"/>
    <n v="331851.45"/>
    <x v="0"/>
    <d v="2025-09-12T00:00:00"/>
  </r>
  <r>
    <s v="L00314"/>
    <s v="C10315"/>
    <x v="0"/>
    <n v="56"/>
    <s v="Single"/>
    <s v="Non Graduate"/>
    <x v="1"/>
    <n v="856503"/>
    <n v="629"/>
    <n v="1208114"/>
    <n v="36"/>
    <n v="11.29"/>
    <x v="0"/>
    <x v="0"/>
    <x v="0"/>
    <n v="37347.5"/>
    <n v="519553.16"/>
    <x v="0"/>
    <d v="2025-10-31T00:00:00"/>
  </r>
  <r>
    <s v="L00315"/>
    <s v="C10316"/>
    <x v="0"/>
    <n v="34"/>
    <s v="Single"/>
    <s v="Graduate"/>
    <x v="0"/>
    <n v="1992888"/>
    <n v="626"/>
    <n v="1554495"/>
    <n v="84"/>
    <n v="14.02"/>
    <x v="3"/>
    <x v="5"/>
    <x v="1"/>
    <n v="21100.42"/>
    <n v="328485.12"/>
    <x v="0"/>
    <d v="2025-02-16T00:00:00"/>
  </r>
  <r>
    <s v="L00316"/>
    <s v="C10317"/>
    <x v="0"/>
    <n v="35"/>
    <s v="Single"/>
    <s v="Non Graduate"/>
    <x v="1"/>
    <n v="1554803"/>
    <n v="579"/>
    <n v="945766"/>
    <n v="24"/>
    <n v="12.9"/>
    <x v="2"/>
    <x v="2"/>
    <x v="0"/>
    <n v="44490.41"/>
    <n v="371643.16"/>
    <x v="0"/>
    <d v="2024-10-03T00:00:00"/>
  </r>
  <r>
    <s v="L00317"/>
    <s v="C10318"/>
    <x v="1"/>
    <n v="52"/>
    <s v="Single"/>
    <s v="Non Graduate"/>
    <x v="1"/>
    <n v="392624"/>
    <n v="550"/>
    <n v="932835"/>
    <n v="12"/>
    <n v="12.53"/>
    <x v="0"/>
    <x v="5"/>
    <x v="0"/>
    <n v="87476.6"/>
    <n v="210573.73"/>
    <x v="1"/>
    <d v="2025-12-24T00:00:00"/>
  </r>
  <r>
    <s v="L00318"/>
    <s v="C10319"/>
    <x v="0"/>
    <n v="39"/>
    <s v="Single"/>
    <s v="Non Graduate"/>
    <x v="1"/>
    <n v="1879012"/>
    <n v="778"/>
    <n v="401461"/>
    <n v="12"/>
    <n v="13.56"/>
    <x v="4"/>
    <x v="2"/>
    <x v="0"/>
    <n v="37991.589999999997"/>
    <n v="388680.84"/>
    <x v="0"/>
    <d v="2025-09-10T00:00:00"/>
  </r>
  <r>
    <s v="L00319"/>
    <s v="C10320"/>
    <x v="1"/>
    <n v="52"/>
    <s v="Single"/>
    <s v="Non Graduate"/>
    <x v="0"/>
    <n v="1543189"/>
    <n v="771"/>
    <n v="981028"/>
    <n v="48"/>
    <n v="12.36"/>
    <x v="4"/>
    <x v="4"/>
    <x v="0"/>
    <n v="22964.23"/>
    <n v="269231.14"/>
    <x v="0"/>
    <d v="2024-07-13T00:00:00"/>
  </r>
  <r>
    <s v="L00320"/>
    <s v="C10321"/>
    <x v="1"/>
    <n v="57"/>
    <s v="Married"/>
    <s v="Graduate"/>
    <x v="0"/>
    <n v="632864"/>
    <n v="773"/>
    <n v="467818"/>
    <n v="84"/>
    <n v="15.23"/>
    <x v="2"/>
    <x v="3"/>
    <x v="0"/>
    <n v="6417.46"/>
    <n v="250753.67"/>
    <x v="0"/>
    <d v="2024-09-08T00:00:00"/>
  </r>
  <r>
    <s v="L00321"/>
    <s v="C10322"/>
    <x v="1"/>
    <n v="40"/>
    <s v="Married"/>
    <s v="Non Graduate"/>
    <x v="1"/>
    <n v="1258814"/>
    <n v="586"/>
    <n v="107632"/>
    <n v="36"/>
    <n v="14.9"/>
    <x v="2"/>
    <x v="1"/>
    <x v="0"/>
    <n v="3435.25"/>
    <n v="37884.01"/>
    <x v="0"/>
    <d v="2025-07-01T00:00:00"/>
  </r>
  <r>
    <s v="L00322"/>
    <s v="C10323"/>
    <x v="1"/>
    <n v="58"/>
    <s v="Single"/>
    <s v="Graduate"/>
    <x v="1"/>
    <n v="677384"/>
    <n v="583"/>
    <n v="831879"/>
    <n v="240"/>
    <n v="13.07"/>
    <x v="3"/>
    <x v="5"/>
    <x v="0"/>
    <n v="3919.19"/>
    <n v="746974.79"/>
    <x v="0"/>
    <d v="2025-09-27T00:00:00"/>
  </r>
  <r>
    <s v="L00323"/>
    <s v="C10324"/>
    <x v="1"/>
    <n v="57"/>
    <s v="Married"/>
    <s v="Non Graduate"/>
    <x v="0"/>
    <n v="658549"/>
    <n v="661"/>
    <n v="667643"/>
    <n v="84"/>
    <n v="8.41"/>
    <x v="2"/>
    <x v="4"/>
    <x v="0"/>
    <n v="8616.57"/>
    <n v="504624.7"/>
    <x v="0"/>
    <d v="2024-11-20T00:00:00"/>
  </r>
  <r>
    <s v="L00324"/>
    <s v="C10325"/>
    <x v="1"/>
    <n v="35"/>
    <s v="Single"/>
    <s v="Graduate"/>
    <x v="0"/>
    <n v="1974734"/>
    <n v="643"/>
    <n v="1476729"/>
    <n v="60"/>
    <n v="14.74"/>
    <x v="2"/>
    <x v="3"/>
    <x v="0"/>
    <n v="28239.98"/>
    <n v="559968.1"/>
    <x v="0"/>
    <d v="2025-01-07T00:00:00"/>
  </r>
  <r>
    <s v="L00325"/>
    <s v="C10326"/>
    <x v="1"/>
    <n v="37"/>
    <s v="Married"/>
    <s v="Non Graduate"/>
    <x v="1"/>
    <n v="1249742"/>
    <n v="749"/>
    <n v="520578"/>
    <n v="24"/>
    <n v="13.56"/>
    <x v="1"/>
    <x v="3"/>
    <x v="0"/>
    <n v="24632.02"/>
    <n v="136062.35"/>
    <x v="0"/>
    <d v="2024-11-07T00:00:00"/>
  </r>
  <r>
    <s v="L00326"/>
    <s v="C10327"/>
    <x v="1"/>
    <n v="49"/>
    <s v="Single"/>
    <s v="Graduate"/>
    <x v="0"/>
    <n v="1975474"/>
    <n v="689"/>
    <n v="1013063"/>
    <n v="120"/>
    <n v="12.31"/>
    <x v="3"/>
    <x v="0"/>
    <x v="0"/>
    <n v="9481.43"/>
    <n v="728363.24"/>
    <x v="0"/>
    <d v="2025-07-24T00:00:00"/>
  </r>
  <r>
    <s v="L00327"/>
    <s v="C10328"/>
    <x v="1"/>
    <n v="37"/>
    <s v="Single"/>
    <s v="Graduate"/>
    <x v="0"/>
    <n v="1188274"/>
    <n v="669"/>
    <n v="1508736"/>
    <n v="36"/>
    <n v="15.47"/>
    <x v="1"/>
    <x v="2"/>
    <x v="0"/>
    <n v="48392.71"/>
    <n v="780728.25"/>
    <x v="0"/>
    <d v="2025-03-30T00:00:00"/>
  </r>
  <r>
    <s v="L00328"/>
    <s v="C10329"/>
    <x v="0"/>
    <n v="39"/>
    <s v="Married"/>
    <s v="Non Graduate"/>
    <x v="1"/>
    <n v="1614387"/>
    <n v="604"/>
    <n v="1884410"/>
    <n v="180"/>
    <n v="8.06"/>
    <x v="2"/>
    <x v="4"/>
    <x v="1"/>
    <n v="11312.74"/>
    <n v="1106364.1299999999"/>
    <x v="0"/>
    <d v="2025-05-20T00:00:00"/>
  </r>
  <r>
    <s v="L00329"/>
    <s v="C10330"/>
    <x v="0"/>
    <n v="42"/>
    <s v="Single"/>
    <s v="Graduate"/>
    <x v="0"/>
    <n v="1742594"/>
    <n v="794"/>
    <n v="1101295"/>
    <n v="48"/>
    <n v="14.82"/>
    <x v="1"/>
    <x v="2"/>
    <x v="0"/>
    <n v="26343.89"/>
    <n v="733657.48"/>
    <x v="0"/>
    <d v="2025-05-03T00:00:00"/>
  </r>
  <r>
    <s v="L00330"/>
    <s v="C10331"/>
    <x v="0"/>
    <n v="58"/>
    <s v="Married"/>
    <s v="Graduate"/>
    <x v="0"/>
    <n v="885138"/>
    <n v="773"/>
    <n v="1043657"/>
    <n v="180"/>
    <n v="15.25"/>
    <x v="2"/>
    <x v="3"/>
    <x v="0"/>
    <n v="6682.3"/>
    <n v="281809.69"/>
    <x v="0"/>
    <d v="2024-08-02T00:00:00"/>
  </r>
  <r>
    <s v="L00331"/>
    <s v="C10332"/>
    <x v="1"/>
    <n v="32"/>
    <s v="Single"/>
    <s v="Non Graduate"/>
    <x v="0"/>
    <n v="718705"/>
    <n v="675"/>
    <n v="1246193"/>
    <n v="84"/>
    <n v="10.08"/>
    <x v="1"/>
    <x v="2"/>
    <x v="0"/>
    <n v="16331.06"/>
    <n v="652369.48"/>
    <x v="0"/>
    <d v="2024-05-14T00:00:00"/>
  </r>
  <r>
    <s v="L00332"/>
    <s v="C10333"/>
    <x v="1"/>
    <n v="37"/>
    <s v="Single"/>
    <s v="Non Graduate"/>
    <x v="0"/>
    <n v="1275508"/>
    <n v="605"/>
    <n v="995441"/>
    <n v="180"/>
    <n v="13.44"/>
    <x v="2"/>
    <x v="0"/>
    <x v="0"/>
    <n v="6273.49"/>
    <n v="426661.79"/>
    <x v="0"/>
    <d v="2025-09-13T00:00:00"/>
  </r>
  <r>
    <s v="L00333"/>
    <s v="C10334"/>
    <x v="1"/>
    <n v="41"/>
    <s v="Married"/>
    <s v="Non Graduate"/>
    <x v="1"/>
    <n v="1426194"/>
    <n v="557"/>
    <n v="1687117"/>
    <n v="84"/>
    <n v="13.03"/>
    <x v="1"/>
    <x v="1"/>
    <x v="1"/>
    <n v="22701.77"/>
    <n v="1451055.39"/>
    <x v="0"/>
    <d v="2025-03-05T00:00:00"/>
  </r>
  <r>
    <s v="L00334"/>
    <s v="C10335"/>
    <x v="0"/>
    <n v="25"/>
    <s v="Single"/>
    <s v="Non Graduate"/>
    <x v="1"/>
    <n v="1042833"/>
    <n v="709"/>
    <n v="1241802"/>
    <n v="12"/>
    <n v="13.72"/>
    <x v="2"/>
    <x v="2"/>
    <x v="0"/>
    <n v="117681.44"/>
    <n v="908871.68000000005"/>
    <x v="0"/>
    <d v="2025-09-07T00:00:00"/>
  </r>
  <r>
    <s v="L00335"/>
    <s v="C10336"/>
    <x v="1"/>
    <n v="54"/>
    <s v="Single"/>
    <s v="Non Graduate"/>
    <x v="0"/>
    <n v="1546826"/>
    <n v="629"/>
    <n v="1718104"/>
    <n v="240"/>
    <n v="15.04"/>
    <x v="1"/>
    <x v="1"/>
    <x v="1"/>
    <n v="8235.4500000000007"/>
    <n v="965792.51"/>
    <x v="0"/>
    <d v="2025-12-15T00:00:00"/>
  </r>
  <r>
    <s v="L00336"/>
    <s v="C10337"/>
    <x v="1"/>
    <n v="47"/>
    <s v="Married"/>
    <s v="Graduate"/>
    <x v="1"/>
    <n v="1025156"/>
    <n v="694"/>
    <n v="214214"/>
    <n v="240"/>
    <n v="12.46"/>
    <x v="2"/>
    <x v="0"/>
    <x v="0"/>
    <n v="1003.77"/>
    <n v="211394.62"/>
    <x v="0"/>
    <d v="2024-10-20T00:00:00"/>
  </r>
  <r>
    <s v="L00337"/>
    <s v="C10338"/>
    <x v="0"/>
    <n v="47"/>
    <s v="Married"/>
    <s v="Non Graduate"/>
    <x v="0"/>
    <n v="1536384"/>
    <n v="744"/>
    <n v="1205026"/>
    <n v="12"/>
    <n v="12.4"/>
    <x v="1"/>
    <x v="2"/>
    <x v="0"/>
    <n v="112870.77"/>
    <n v="1122283.53"/>
    <x v="0"/>
    <d v="2025-06-25T00:00:00"/>
  </r>
  <r>
    <s v="L00338"/>
    <s v="C10339"/>
    <x v="0"/>
    <n v="36"/>
    <s v="Married"/>
    <s v="Non Graduate"/>
    <x v="1"/>
    <n v="1250505"/>
    <n v="600"/>
    <n v="1322637"/>
    <n v="120"/>
    <n v="11.08"/>
    <x v="3"/>
    <x v="0"/>
    <x v="0"/>
    <n v="12243.21"/>
    <n v="253676.01"/>
    <x v="0"/>
    <d v="2025-05-29T00:00:00"/>
  </r>
  <r>
    <s v="L00339"/>
    <s v="C10340"/>
    <x v="1"/>
    <n v="60"/>
    <s v="Single"/>
    <s v="Non Graduate"/>
    <x v="1"/>
    <n v="646044"/>
    <n v="740"/>
    <n v="113221"/>
    <n v="60"/>
    <n v="9.84"/>
    <x v="1"/>
    <x v="4"/>
    <x v="0"/>
    <n v="2072.6999999999998"/>
    <n v="105129.24"/>
    <x v="0"/>
    <d v="2024-09-22T00:00:00"/>
  </r>
  <r>
    <s v="L00340"/>
    <s v="C10341"/>
    <x v="1"/>
    <n v="54"/>
    <s v="Married"/>
    <s v="Graduate"/>
    <x v="0"/>
    <n v="721627"/>
    <n v="589"/>
    <n v="1188601"/>
    <n v="24"/>
    <n v="11.98"/>
    <x v="4"/>
    <x v="3"/>
    <x v="1"/>
    <n v="55458.14"/>
    <n v="831917.17"/>
    <x v="0"/>
    <d v="2025-09-06T00:00:00"/>
  </r>
  <r>
    <s v="L00341"/>
    <s v="C10342"/>
    <x v="0"/>
    <n v="60"/>
    <s v="Single"/>
    <s v="Non Graduate"/>
    <x v="1"/>
    <n v="1345913"/>
    <n v="649"/>
    <n v="814379"/>
    <n v="60"/>
    <n v="7.67"/>
    <x v="0"/>
    <x v="2"/>
    <x v="0"/>
    <n v="14614.03"/>
    <n v="557510.19999999995"/>
    <x v="0"/>
    <d v="2024-06-26T00:00:00"/>
  </r>
  <r>
    <s v="L00342"/>
    <s v="C10343"/>
    <x v="1"/>
    <n v="57"/>
    <s v="Married"/>
    <s v="Graduate"/>
    <x v="0"/>
    <n v="1115287"/>
    <n v="558"/>
    <n v="371918"/>
    <n v="24"/>
    <n v="12.97"/>
    <x v="1"/>
    <x v="4"/>
    <x v="0"/>
    <n v="17506.490000000002"/>
    <n v="301956.71999999997"/>
    <x v="1"/>
    <d v="2025-01-30T00:00:00"/>
  </r>
  <r>
    <s v="L00343"/>
    <s v="C10344"/>
    <x v="0"/>
    <n v="39"/>
    <s v="Married"/>
    <s v="Graduate"/>
    <x v="1"/>
    <n v="702436"/>
    <n v="560"/>
    <n v="718612"/>
    <n v="12"/>
    <n v="12.95"/>
    <x v="4"/>
    <x v="3"/>
    <x v="0"/>
    <n v="67639.350000000006"/>
    <n v="203316.74"/>
    <x v="1"/>
    <d v="2024-05-19T00:00:00"/>
  </r>
  <r>
    <s v="L00344"/>
    <s v="C10345"/>
    <x v="1"/>
    <n v="35"/>
    <s v="Married"/>
    <s v="Graduate"/>
    <x v="0"/>
    <n v="694163"/>
    <n v="676"/>
    <n v="1416096"/>
    <n v="180"/>
    <n v="7.95"/>
    <x v="4"/>
    <x v="3"/>
    <x v="0"/>
    <n v="8492.64"/>
    <n v="1139015.31"/>
    <x v="0"/>
    <d v="2024-03-07T00:00:00"/>
  </r>
  <r>
    <s v="L00345"/>
    <s v="C10346"/>
    <x v="1"/>
    <n v="53"/>
    <s v="Married"/>
    <s v="Non Graduate"/>
    <x v="0"/>
    <n v="1945958"/>
    <n v="833"/>
    <n v="356330"/>
    <n v="60"/>
    <n v="14.89"/>
    <x v="1"/>
    <x v="0"/>
    <x v="0"/>
    <n v="6823.13"/>
    <n v="283690.65999999997"/>
    <x v="0"/>
    <d v="2025-08-02T00:00:00"/>
  </r>
  <r>
    <s v="L00346"/>
    <s v="C10347"/>
    <x v="0"/>
    <n v="23"/>
    <s v="Single"/>
    <s v="Non Graduate"/>
    <x v="0"/>
    <n v="1311491"/>
    <n v="706"/>
    <n v="228652"/>
    <n v="60"/>
    <n v="11.78"/>
    <x v="3"/>
    <x v="2"/>
    <x v="0"/>
    <n v="4259.79"/>
    <n v="166668.22"/>
    <x v="0"/>
    <d v="2025-02-23T00:00:00"/>
  </r>
  <r>
    <s v="L00347"/>
    <s v="C10348"/>
    <x v="0"/>
    <n v="50"/>
    <s v="Married"/>
    <s v="Non Graduate"/>
    <x v="1"/>
    <n v="1535445"/>
    <n v="812"/>
    <n v="1183392"/>
    <n v="48"/>
    <n v="7.69"/>
    <x v="2"/>
    <x v="4"/>
    <x v="0"/>
    <n v="26549.89"/>
    <n v="519583.33"/>
    <x v="0"/>
    <d v="2025-10-21T00:00:00"/>
  </r>
  <r>
    <s v="L00348"/>
    <s v="C10349"/>
    <x v="0"/>
    <n v="38"/>
    <s v="Married"/>
    <s v="Non Graduate"/>
    <x v="0"/>
    <n v="1467483"/>
    <n v="689"/>
    <n v="277800"/>
    <n v="24"/>
    <n v="12.75"/>
    <x v="2"/>
    <x v="4"/>
    <x v="0"/>
    <n v="13050.81"/>
    <n v="161675.54999999999"/>
    <x v="0"/>
    <d v="2025-03-27T00:00:00"/>
  </r>
  <r>
    <s v="L00349"/>
    <s v="C10350"/>
    <x v="0"/>
    <n v="43"/>
    <s v="Single"/>
    <s v="Graduate"/>
    <x v="0"/>
    <n v="947148"/>
    <n v="847"/>
    <n v="1037813"/>
    <n v="240"/>
    <n v="9.48"/>
    <x v="2"/>
    <x v="5"/>
    <x v="0"/>
    <n v="4734.16"/>
    <n v="811040.32"/>
    <x v="0"/>
    <d v="2025-07-19T00:00:00"/>
  </r>
  <r>
    <s v="L00350"/>
    <s v="C10351"/>
    <x v="1"/>
    <n v="57"/>
    <s v="Married"/>
    <s v="Graduate"/>
    <x v="0"/>
    <n v="1903217"/>
    <n v="574"/>
    <n v="123804"/>
    <n v="24"/>
    <n v="8.4499999999999993"/>
    <x v="4"/>
    <x v="2"/>
    <x v="0"/>
    <n v="5594.39"/>
    <n v="52273.1"/>
    <x v="1"/>
    <d v="2025-12-26T00:00:00"/>
  </r>
  <r>
    <s v="L00351"/>
    <s v="C10352"/>
    <x v="1"/>
    <n v="54"/>
    <s v="Married"/>
    <s v="Graduate"/>
    <x v="1"/>
    <n v="530425"/>
    <n v="779"/>
    <n v="1111137"/>
    <n v="120"/>
    <n v="12.64"/>
    <x v="0"/>
    <x v="0"/>
    <x v="0"/>
    <n v="10429.870000000001"/>
    <n v="841072.21"/>
    <x v="0"/>
    <d v="2024-04-04T00:00:00"/>
  </r>
  <r>
    <s v="L00352"/>
    <s v="C10353"/>
    <x v="1"/>
    <n v="30"/>
    <s v="Single"/>
    <s v="Graduate"/>
    <x v="0"/>
    <n v="1647113"/>
    <n v="574"/>
    <n v="905874"/>
    <n v="240"/>
    <n v="9.91"/>
    <x v="4"/>
    <x v="4"/>
    <x v="1"/>
    <n v="4148.53"/>
    <n v="845333.04"/>
    <x v="0"/>
    <d v="2024-06-23T00:00:00"/>
  </r>
  <r>
    <s v="L00353"/>
    <s v="C10354"/>
    <x v="0"/>
    <n v="49"/>
    <s v="Married"/>
    <s v="Non Graduate"/>
    <x v="0"/>
    <n v="402750"/>
    <n v="829"/>
    <n v="1111058"/>
    <n v="48"/>
    <n v="9.09"/>
    <x v="4"/>
    <x v="0"/>
    <x v="0"/>
    <n v="25251.11"/>
    <n v="894927.02"/>
    <x v="0"/>
    <d v="2024-07-08T00:00:00"/>
  </r>
  <r>
    <s v="L00354"/>
    <s v="C10355"/>
    <x v="0"/>
    <n v="46"/>
    <s v="Single"/>
    <s v="Graduate"/>
    <x v="0"/>
    <n v="1754632"/>
    <n v="798"/>
    <n v="1927218"/>
    <n v="84"/>
    <n v="9.19"/>
    <x v="4"/>
    <x v="2"/>
    <x v="0"/>
    <n v="25051.54"/>
    <n v="1468720.72"/>
    <x v="0"/>
    <d v="2024-07-07T00:00:00"/>
  </r>
  <r>
    <s v="L00355"/>
    <s v="C10356"/>
    <x v="1"/>
    <n v="23"/>
    <s v="Single"/>
    <s v="Non Graduate"/>
    <x v="1"/>
    <n v="1139600"/>
    <n v="576"/>
    <n v="525882"/>
    <n v="60"/>
    <n v="8.36"/>
    <x v="0"/>
    <x v="1"/>
    <x v="0"/>
    <n v="9497.43"/>
    <n v="416745.69"/>
    <x v="0"/>
    <d v="2024-11-27T00:00:00"/>
  </r>
  <r>
    <s v="L00356"/>
    <s v="C10357"/>
    <x v="0"/>
    <n v="31"/>
    <s v="Married"/>
    <s v="Non Graduate"/>
    <x v="1"/>
    <n v="423071"/>
    <n v="625"/>
    <n v="1589663"/>
    <n v="240"/>
    <n v="9.89"/>
    <x v="0"/>
    <x v="0"/>
    <x v="1"/>
    <n v="7278.67"/>
    <n v="1494846.32"/>
    <x v="0"/>
    <d v="2024-10-19T00:00:00"/>
  </r>
  <r>
    <s v="L00357"/>
    <s v="C10358"/>
    <x v="1"/>
    <n v="42"/>
    <s v="Single"/>
    <s v="Non Graduate"/>
    <x v="0"/>
    <n v="1132327"/>
    <n v="843"/>
    <n v="627283"/>
    <n v="84"/>
    <n v="11.22"/>
    <x v="0"/>
    <x v="3"/>
    <x v="0"/>
    <n v="8305.5300000000007"/>
    <n v="86953.99"/>
    <x v="0"/>
    <d v="2025-12-07T00:00:00"/>
  </r>
  <r>
    <s v="L00358"/>
    <s v="C10359"/>
    <x v="0"/>
    <n v="37"/>
    <s v="Married"/>
    <s v="Graduate"/>
    <x v="1"/>
    <n v="975441"/>
    <n v="662"/>
    <n v="1875363"/>
    <n v="24"/>
    <n v="13.25"/>
    <x v="4"/>
    <x v="5"/>
    <x v="0"/>
    <n v="88493.69"/>
    <n v="1019448.65"/>
    <x v="0"/>
    <d v="2025-05-12T00:00:00"/>
  </r>
  <r>
    <s v="L00359"/>
    <s v="C10360"/>
    <x v="0"/>
    <n v="23"/>
    <s v="Single"/>
    <s v="Graduate"/>
    <x v="0"/>
    <n v="578832"/>
    <n v="588"/>
    <n v="683330"/>
    <n v="180"/>
    <n v="11.82"/>
    <x v="3"/>
    <x v="1"/>
    <x v="0"/>
    <n v="4245"/>
    <n v="113047.7"/>
    <x v="1"/>
    <d v="2025-05-15T00:00:00"/>
  </r>
  <r>
    <s v="L00360"/>
    <s v="C10361"/>
    <x v="1"/>
    <n v="53"/>
    <s v="Married"/>
    <s v="Graduate"/>
    <x v="1"/>
    <n v="1021702"/>
    <n v="724"/>
    <n v="206691"/>
    <n v="180"/>
    <n v="13.98"/>
    <x v="3"/>
    <x v="1"/>
    <x v="0"/>
    <n v="1308.81"/>
    <n v="118135.57"/>
    <x v="0"/>
    <d v="2025-11-02T00:00:00"/>
  </r>
  <r>
    <s v="L00361"/>
    <s v="C10362"/>
    <x v="1"/>
    <n v="38"/>
    <s v="Single"/>
    <s v="Graduate"/>
    <x v="1"/>
    <n v="293138"/>
    <n v="636"/>
    <n v="1455740"/>
    <n v="240"/>
    <n v="13.48"/>
    <x v="1"/>
    <x v="3"/>
    <x v="0"/>
    <n v="6883.22"/>
    <n v="837201.91"/>
    <x v="0"/>
    <d v="2024-10-19T00:00:00"/>
  </r>
  <r>
    <s v="L00362"/>
    <s v="C10363"/>
    <x v="1"/>
    <n v="49"/>
    <s v="Married"/>
    <s v="Non Graduate"/>
    <x v="1"/>
    <n v="1783210"/>
    <n v="780"/>
    <n v="1308542"/>
    <n v="120"/>
    <n v="11.89"/>
    <x v="4"/>
    <x v="2"/>
    <x v="0"/>
    <n v="12201.06"/>
    <n v="502944.9"/>
    <x v="0"/>
    <d v="2025-11-01T00:00:00"/>
  </r>
  <r>
    <s v="L00363"/>
    <s v="C10364"/>
    <x v="0"/>
    <n v="53"/>
    <s v="Single"/>
    <s v="Non Graduate"/>
    <x v="1"/>
    <n v="1505711"/>
    <n v="600"/>
    <n v="411313"/>
    <n v="48"/>
    <n v="13.1"/>
    <x v="1"/>
    <x v="5"/>
    <x v="0"/>
    <n v="9691.56"/>
    <n v="380027.47"/>
    <x v="0"/>
    <d v="2024-02-26T00:00:00"/>
  </r>
  <r>
    <s v="L00364"/>
    <s v="C10365"/>
    <x v="1"/>
    <n v="38"/>
    <s v="Single"/>
    <s v="Non Graduate"/>
    <x v="1"/>
    <n v="815980"/>
    <n v="678"/>
    <n v="796688"/>
    <n v="180"/>
    <n v="14.79"/>
    <x v="3"/>
    <x v="4"/>
    <x v="0"/>
    <n v="5080.66"/>
    <n v="120785.79"/>
    <x v="0"/>
    <d v="2024-10-07T00:00:00"/>
  </r>
  <r>
    <s v="L00365"/>
    <s v="C10366"/>
    <x v="0"/>
    <n v="54"/>
    <s v="Married"/>
    <s v="Graduate"/>
    <x v="1"/>
    <n v="1739694"/>
    <n v="825"/>
    <n v="410090"/>
    <n v="240"/>
    <n v="14.98"/>
    <x v="2"/>
    <x v="5"/>
    <x v="0"/>
    <n v="1964.67"/>
    <n v="41182.129999999997"/>
    <x v="0"/>
    <d v="2024-10-08T00:00:00"/>
  </r>
  <r>
    <s v="L00366"/>
    <s v="C10367"/>
    <x v="1"/>
    <n v="53"/>
    <s v="Married"/>
    <s v="Non Graduate"/>
    <x v="0"/>
    <n v="433149"/>
    <n v="669"/>
    <n v="147679"/>
    <n v="240"/>
    <n v="9.18"/>
    <x v="4"/>
    <x v="0"/>
    <x v="0"/>
    <n v="671.82"/>
    <n v="99492.06"/>
    <x v="0"/>
    <d v="2025-02-20T00:00:00"/>
  </r>
  <r>
    <s v="L00367"/>
    <s v="C10368"/>
    <x v="1"/>
    <n v="51"/>
    <s v="Married"/>
    <s v="Non Graduate"/>
    <x v="0"/>
    <n v="384408"/>
    <n v="818"/>
    <n v="860193"/>
    <n v="12"/>
    <n v="12.97"/>
    <x v="2"/>
    <x v="0"/>
    <x v="0"/>
    <n v="80980"/>
    <n v="757458.85"/>
    <x v="0"/>
    <d v="2025-10-07T00:00:00"/>
  </r>
  <r>
    <s v="L00368"/>
    <s v="C10369"/>
    <x v="1"/>
    <n v="32"/>
    <s v="Single"/>
    <s v="Graduate"/>
    <x v="1"/>
    <n v="885210"/>
    <n v="800"/>
    <n v="1496884"/>
    <n v="240"/>
    <n v="13.2"/>
    <x v="4"/>
    <x v="4"/>
    <x v="0"/>
    <n v="7060.3"/>
    <n v="172907.85"/>
    <x v="0"/>
    <d v="2025-09-12T00:00:00"/>
  </r>
  <r>
    <s v="L00369"/>
    <s v="C10370"/>
    <x v="0"/>
    <n v="32"/>
    <s v="Single"/>
    <s v="Graduate"/>
    <x v="0"/>
    <n v="1655173"/>
    <n v="738"/>
    <n v="511886"/>
    <n v="120"/>
    <n v="9.76"/>
    <x v="3"/>
    <x v="3"/>
    <x v="0"/>
    <n v="4682.05"/>
    <n v="209747.4"/>
    <x v="0"/>
    <d v="2024-04-06T00:00:00"/>
  </r>
  <r>
    <s v="L00370"/>
    <s v="C10371"/>
    <x v="0"/>
    <n v="52"/>
    <s v="Married"/>
    <s v="Non Graduate"/>
    <x v="1"/>
    <n v="1468306"/>
    <n v="672"/>
    <n v="1276750"/>
    <n v="48"/>
    <n v="7.78"/>
    <x v="2"/>
    <x v="1"/>
    <x v="0"/>
    <n v="28668.36"/>
    <n v="783644.99"/>
    <x v="0"/>
    <d v="2025-11-12T00:00:00"/>
  </r>
  <r>
    <s v="L00371"/>
    <s v="C10372"/>
    <x v="1"/>
    <n v="50"/>
    <s v="Single"/>
    <s v="Non Graduate"/>
    <x v="1"/>
    <n v="529062"/>
    <n v="666"/>
    <n v="1396856"/>
    <n v="180"/>
    <n v="12.35"/>
    <x v="1"/>
    <x v="4"/>
    <x v="0"/>
    <n v="8718.7099999999991"/>
    <n v="904592.26"/>
    <x v="0"/>
    <d v="2025-01-23T00:00:00"/>
  </r>
  <r>
    <s v="L00372"/>
    <s v="C10373"/>
    <x v="0"/>
    <n v="53"/>
    <s v="Single"/>
    <s v="Non Graduate"/>
    <x v="0"/>
    <n v="1921076"/>
    <n v="793"/>
    <n v="415061"/>
    <n v="48"/>
    <n v="14.97"/>
    <x v="3"/>
    <x v="4"/>
    <x v="0"/>
    <n v="9941.58"/>
    <n v="91675.87"/>
    <x v="0"/>
    <d v="2024-07-04T00:00:00"/>
  </r>
  <r>
    <s v="L00373"/>
    <s v="C10374"/>
    <x v="0"/>
    <n v="34"/>
    <s v="Married"/>
    <s v="Non Graduate"/>
    <x v="0"/>
    <n v="1315615"/>
    <n v="710"/>
    <n v="549547"/>
    <n v="12"/>
    <n v="8.84"/>
    <x v="1"/>
    <x v="0"/>
    <x v="0"/>
    <n v="49843.91"/>
    <n v="286966.75"/>
    <x v="0"/>
    <d v="2024-04-18T00:00:00"/>
  </r>
  <r>
    <s v="L00374"/>
    <s v="C10375"/>
    <x v="1"/>
    <n v="54"/>
    <s v="Single"/>
    <s v="Non Graduate"/>
    <x v="0"/>
    <n v="674612"/>
    <n v="756"/>
    <n v="1523336"/>
    <n v="180"/>
    <n v="10.26"/>
    <x v="0"/>
    <x v="5"/>
    <x v="0"/>
    <n v="9331.2800000000007"/>
    <n v="1048484.5"/>
    <x v="0"/>
    <d v="2024-06-19T00:00:00"/>
  </r>
  <r>
    <s v="L00375"/>
    <s v="C10376"/>
    <x v="0"/>
    <n v="56"/>
    <s v="Married"/>
    <s v="Graduate"/>
    <x v="1"/>
    <n v="829683"/>
    <n v="847"/>
    <n v="246535"/>
    <n v="60"/>
    <n v="11.37"/>
    <x v="2"/>
    <x v="4"/>
    <x v="0"/>
    <n v="4576.1000000000004"/>
    <n v="71061.039999999994"/>
    <x v="0"/>
    <d v="2024-05-04T00:00:00"/>
  </r>
  <r>
    <s v="L00376"/>
    <s v="C10377"/>
    <x v="1"/>
    <n v="30"/>
    <s v="Married"/>
    <s v="Graduate"/>
    <x v="1"/>
    <n v="1199609"/>
    <n v="565"/>
    <n v="469147"/>
    <n v="48"/>
    <n v="14.66"/>
    <x v="2"/>
    <x v="0"/>
    <x v="1"/>
    <n v="11206.75"/>
    <n v="105322.7"/>
    <x v="0"/>
    <d v="2024-12-23T00:00:00"/>
  </r>
  <r>
    <s v="L00377"/>
    <s v="C10378"/>
    <x v="1"/>
    <n v="58"/>
    <s v="Married"/>
    <s v="Graduate"/>
    <x v="1"/>
    <n v="694101"/>
    <n v="847"/>
    <n v="227267"/>
    <n v="60"/>
    <n v="11.4"/>
    <x v="3"/>
    <x v="1"/>
    <x v="0"/>
    <n v="4219.59"/>
    <n v="75709.37"/>
    <x v="0"/>
    <d v="2024-03-19T00:00:00"/>
  </r>
  <r>
    <s v="L00378"/>
    <s v="C10379"/>
    <x v="0"/>
    <n v="44"/>
    <s v="Single"/>
    <s v="Graduate"/>
    <x v="0"/>
    <n v="1875721"/>
    <n v="593"/>
    <n v="1512253"/>
    <n v="48"/>
    <n v="14.51"/>
    <x v="0"/>
    <x v="1"/>
    <x v="1"/>
    <n v="36076.69"/>
    <n v="1209896.8"/>
    <x v="0"/>
    <d v="2024-01-19T00:00:00"/>
  </r>
  <r>
    <s v="L00379"/>
    <s v="C10380"/>
    <x v="1"/>
    <n v="48"/>
    <s v="Single"/>
    <s v="Graduate"/>
    <x v="1"/>
    <n v="979407"/>
    <n v="684"/>
    <n v="1755642"/>
    <n v="120"/>
    <n v="15.02"/>
    <x v="1"/>
    <x v="4"/>
    <x v="0"/>
    <n v="16827.830000000002"/>
    <n v="1070402.82"/>
    <x v="0"/>
    <d v="2024-05-14T00:00:00"/>
  </r>
  <r>
    <s v="L00380"/>
    <s v="C10381"/>
    <x v="1"/>
    <n v="44"/>
    <s v="Married"/>
    <s v="Non Graduate"/>
    <x v="1"/>
    <n v="1740842"/>
    <n v="621"/>
    <n v="1141548"/>
    <n v="24"/>
    <n v="9.77"/>
    <x v="2"/>
    <x v="0"/>
    <x v="0"/>
    <n v="52211.55"/>
    <n v="557772.03"/>
    <x v="0"/>
    <d v="2024-04-25T00:00:00"/>
  </r>
  <r>
    <s v="L00381"/>
    <s v="C10382"/>
    <x v="0"/>
    <n v="49"/>
    <s v="Single"/>
    <s v="Non Graduate"/>
    <x v="1"/>
    <n v="1012291"/>
    <n v="768"/>
    <n v="626149"/>
    <n v="180"/>
    <n v="10.53"/>
    <x v="0"/>
    <x v="5"/>
    <x v="0"/>
    <n v="3844.9"/>
    <n v="430470.61"/>
    <x v="0"/>
    <d v="2025-02-03T00:00:00"/>
  </r>
  <r>
    <s v="L00382"/>
    <s v="C10383"/>
    <x v="1"/>
    <n v="46"/>
    <s v="Single"/>
    <s v="Non Graduate"/>
    <x v="0"/>
    <n v="1201877"/>
    <n v="698"/>
    <n v="1121262"/>
    <n v="48"/>
    <n v="13.92"/>
    <x v="2"/>
    <x v="5"/>
    <x v="0"/>
    <n v="26611.279999999999"/>
    <n v="1085435.1599999999"/>
    <x v="0"/>
    <d v="2024-08-22T00:00:00"/>
  </r>
  <r>
    <s v="L00383"/>
    <s v="C10384"/>
    <x v="0"/>
    <n v="49"/>
    <s v="Married"/>
    <s v="Graduate"/>
    <x v="0"/>
    <n v="1419902"/>
    <n v="771"/>
    <n v="741315"/>
    <n v="60"/>
    <n v="15.05"/>
    <x v="4"/>
    <x v="0"/>
    <x v="0"/>
    <n v="14214.72"/>
    <n v="264823.34000000003"/>
    <x v="0"/>
    <d v="2024-05-16T00:00:00"/>
  </r>
  <r>
    <s v="L00384"/>
    <s v="C10385"/>
    <x v="1"/>
    <n v="38"/>
    <s v="Single"/>
    <s v="Graduate"/>
    <x v="0"/>
    <n v="467257"/>
    <n v="674"/>
    <n v="717270"/>
    <n v="24"/>
    <n v="8.5"/>
    <x v="0"/>
    <x v="3"/>
    <x v="0"/>
    <n v="32426.58"/>
    <n v="561489.21"/>
    <x v="0"/>
    <d v="2024-10-07T00:00:00"/>
  </r>
  <r>
    <s v="L00385"/>
    <s v="C10386"/>
    <x v="0"/>
    <n v="43"/>
    <s v="Single"/>
    <s v="Graduate"/>
    <x v="1"/>
    <n v="398932"/>
    <n v="612"/>
    <n v="1024071"/>
    <n v="84"/>
    <n v="8.02"/>
    <x v="1"/>
    <x v="5"/>
    <x v="0"/>
    <n v="13169.07"/>
    <n v="543343.47"/>
    <x v="0"/>
    <d v="2024-04-25T00:00:00"/>
  </r>
  <r>
    <s v="L00386"/>
    <s v="C10387"/>
    <x v="1"/>
    <n v="40"/>
    <s v="Married"/>
    <s v="Graduate"/>
    <x v="1"/>
    <n v="1300736"/>
    <n v="750"/>
    <n v="1416684"/>
    <n v="36"/>
    <n v="15.14"/>
    <x v="2"/>
    <x v="2"/>
    <x v="0"/>
    <n v="45310.28"/>
    <n v="431039.75"/>
    <x v="0"/>
    <d v="2025-11-11T00:00:00"/>
  </r>
  <r>
    <s v="L00387"/>
    <s v="C10388"/>
    <x v="0"/>
    <n v="34"/>
    <s v="Single"/>
    <s v="Graduate"/>
    <x v="0"/>
    <n v="1557710"/>
    <n v="730"/>
    <n v="1004752"/>
    <n v="12"/>
    <n v="12.58"/>
    <x v="1"/>
    <x v="0"/>
    <x v="0"/>
    <n v="94262.48"/>
    <n v="836323.77"/>
    <x v="0"/>
    <d v="2025-03-14T00:00:00"/>
  </r>
  <r>
    <s v="L00388"/>
    <s v="C10389"/>
    <x v="0"/>
    <n v="40"/>
    <s v="Married"/>
    <s v="Graduate"/>
    <x v="0"/>
    <n v="1391073"/>
    <n v="556"/>
    <n v="312523"/>
    <n v="12"/>
    <n v="9.84"/>
    <x v="1"/>
    <x v="3"/>
    <x v="1"/>
    <n v="28606.27"/>
    <n v="268442.84999999998"/>
    <x v="0"/>
    <d v="2025-06-16T00:00:00"/>
  </r>
  <r>
    <s v="L00389"/>
    <s v="C10390"/>
    <x v="0"/>
    <n v="40"/>
    <s v="Married"/>
    <s v="Non Graduate"/>
    <x v="1"/>
    <n v="317349"/>
    <n v="833"/>
    <n v="872725"/>
    <n v="12"/>
    <n v="7.61"/>
    <x v="4"/>
    <x v="4"/>
    <x v="1"/>
    <n v="78261.61"/>
    <n v="646772.73"/>
    <x v="0"/>
    <d v="2024-06-30T00:00:00"/>
  </r>
  <r>
    <s v="L00390"/>
    <s v="C10391"/>
    <x v="1"/>
    <n v="24"/>
    <s v="Single"/>
    <s v="Non Graduate"/>
    <x v="1"/>
    <n v="1008516"/>
    <n v="767"/>
    <n v="1102246"/>
    <n v="240"/>
    <n v="10.02"/>
    <x v="4"/>
    <x v="4"/>
    <x v="0"/>
    <n v="5052.88"/>
    <n v="583966.53"/>
    <x v="0"/>
    <d v="2024-07-15T00:00:00"/>
  </r>
  <r>
    <s v="L00391"/>
    <s v="C10392"/>
    <x v="0"/>
    <n v="51"/>
    <s v="Single"/>
    <s v="Non Graduate"/>
    <x v="0"/>
    <n v="1977874"/>
    <n v="731"/>
    <n v="1400895"/>
    <n v="180"/>
    <n v="9.2799999999999994"/>
    <x v="2"/>
    <x v="5"/>
    <x v="0"/>
    <n v="8504.99"/>
    <n v="631991.74"/>
    <x v="0"/>
    <d v="2025-09-12T00:00:00"/>
  </r>
  <r>
    <s v="L00392"/>
    <s v="C10393"/>
    <x v="0"/>
    <n v="47"/>
    <s v="Married"/>
    <s v="Non Graduate"/>
    <x v="0"/>
    <n v="283045"/>
    <n v="582"/>
    <n v="392542"/>
    <n v="48"/>
    <n v="14.9"/>
    <x v="2"/>
    <x v="5"/>
    <x v="0"/>
    <n v="9396.4699999999993"/>
    <n v="254038.14"/>
    <x v="1"/>
    <d v="2024-03-26T00:00:00"/>
  </r>
  <r>
    <s v="L00393"/>
    <s v="C10394"/>
    <x v="0"/>
    <n v="52"/>
    <s v="Single"/>
    <s v="Non Graduate"/>
    <x v="1"/>
    <n v="1142945"/>
    <n v="697"/>
    <n v="294979"/>
    <n v="180"/>
    <n v="11.28"/>
    <x v="0"/>
    <x v="0"/>
    <x v="0"/>
    <n v="1823.63"/>
    <n v="204253.27"/>
    <x v="0"/>
    <d v="2025-01-12T00:00:00"/>
  </r>
  <r>
    <s v="L00394"/>
    <s v="C10395"/>
    <x v="1"/>
    <n v="21"/>
    <s v="Married"/>
    <s v="Non Graduate"/>
    <x v="1"/>
    <n v="1435661"/>
    <n v="708"/>
    <n v="1744834"/>
    <n v="60"/>
    <n v="9.11"/>
    <x v="4"/>
    <x v="4"/>
    <x v="0"/>
    <n v="31729.81"/>
    <n v="1383340.45"/>
    <x v="0"/>
    <d v="2024-09-16T00:00:00"/>
  </r>
  <r>
    <s v="L00395"/>
    <s v="C10396"/>
    <x v="1"/>
    <n v="51"/>
    <s v="Married"/>
    <s v="Non Graduate"/>
    <x v="0"/>
    <n v="1231659"/>
    <n v="688"/>
    <n v="230087"/>
    <n v="12"/>
    <n v="7.58"/>
    <x v="1"/>
    <x v="3"/>
    <x v="0"/>
    <n v="20627.3"/>
    <n v="215390.78"/>
    <x v="0"/>
    <d v="2024-09-28T00:00:00"/>
  </r>
  <r>
    <s v="L00396"/>
    <s v="C10397"/>
    <x v="1"/>
    <n v="25"/>
    <s v="Single"/>
    <s v="Graduate"/>
    <x v="0"/>
    <n v="1891903"/>
    <n v="848"/>
    <n v="141095"/>
    <n v="60"/>
    <n v="11.84"/>
    <x v="2"/>
    <x v="0"/>
    <x v="0"/>
    <n v="2630.01"/>
    <n v="135247.4"/>
    <x v="0"/>
    <d v="2024-06-29T00:00:00"/>
  </r>
  <r>
    <s v="L00397"/>
    <s v="C10398"/>
    <x v="0"/>
    <n v="24"/>
    <s v="Single"/>
    <s v="Non Graduate"/>
    <x v="1"/>
    <n v="858904"/>
    <n v="664"/>
    <n v="1714156"/>
    <n v="60"/>
    <n v="12.36"/>
    <x v="3"/>
    <x v="0"/>
    <x v="0"/>
    <n v="32100.43"/>
    <n v="1706433.94"/>
    <x v="0"/>
    <d v="2024-07-11T00:00:00"/>
  </r>
  <r>
    <s v="L00398"/>
    <s v="C10399"/>
    <x v="1"/>
    <n v="30"/>
    <s v="Single"/>
    <s v="Non Graduate"/>
    <x v="0"/>
    <n v="1443918"/>
    <n v="731"/>
    <n v="1271715"/>
    <n v="60"/>
    <n v="15.35"/>
    <x v="3"/>
    <x v="4"/>
    <x v="0"/>
    <n v="24448.720000000001"/>
    <n v="624883.27"/>
    <x v="0"/>
    <d v="2024-12-30T00:00:00"/>
  </r>
  <r>
    <s v="L00399"/>
    <s v="C10400"/>
    <x v="0"/>
    <n v="52"/>
    <s v="Single"/>
    <s v="Non Graduate"/>
    <x v="0"/>
    <n v="1910359"/>
    <n v="622"/>
    <n v="1978725"/>
    <n v="240"/>
    <n v="11.24"/>
    <x v="0"/>
    <x v="4"/>
    <x v="1"/>
    <n v="9171.39"/>
    <n v="1107192.56"/>
    <x v="0"/>
    <d v="2025-06-16T00:00:00"/>
  </r>
  <r>
    <s v="L00400"/>
    <s v="C10401"/>
    <x v="1"/>
    <n v="50"/>
    <s v="Single"/>
    <s v="Graduate"/>
    <x v="0"/>
    <n v="1942141"/>
    <n v="738"/>
    <n v="871767"/>
    <n v="12"/>
    <n v="10.35"/>
    <x v="4"/>
    <x v="4"/>
    <x v="0"/>
    <n v="80166.240000000005"/>
    <n v="125304.35"/>
    <x v="0"/>
    <d v="2024-08-28T00:00:00"/>
  </r>
  <r>
    <s v="L00401"/>
    <s v="C10402"/>
    <x v="0"/>
    <n v="26"/>
    <s v="Married"/>
    <s v="Graduate"/>
    <x v="0"/>
    <n v="318527"/>
    <n v="754"/>
    <n v="1177861"/>
    <n v="60"/>
    <n v="13.03"/>
    <x v="4"/>
    <x v="3"/>
    <x v="0"/>
    <n v="22188.94"/>
    <n v="168790.99"/>
    <x v="0"/>
    <d v="2025-02-15T00:00:00"/>
  </r>
  <r>
    <s v="L00402"/>
    <s v="C10403"/>
    <x v="0"/>
    <n v="57"/>
    <s v="Single"/>
    <s v="Graduate"/>
    <x v="1"/>
    <n v="274112"/>
    <n v="757"/>
    <n v="270267"/>
    <n v="84"/>
    <n v="7.98"/>
    <x v="3"/>
    <x v="4"/>
    <x v="0"/>
    <n v="3474.22"/>
    <n v="90571.3"/>
    <x v="0"/>
    <d v="2025-06-20T00:00:00"/>
  </r>
  <r>
    <s v="L00403"/>
    <s v="C10404"/>
    <x v="1"/>
    <n v="41"/>
    <s v="Married"/>
    <s v="Graduate"/>
    <x v="1"/>
    <n v="1273172"/>
    <n v="709"/>
    <n v="1999089"/>
    <n v="120"/>
    <n v="15.47"/>
    <x v="2"/>
    <x v="4"/>
    <x v="0"/>
    <n v="19236.23"/>
    <n v="734109.77"/>
    <x v="0"/>
    <d v="2025-06-30T00:00:00"/>
  </r>
  <r>
    <s v="L00404"/>
    <s v="C10405"/>
    <x v="0"/>
    <n v="52"/>
    <s v="Married"/>
    <s v="Graduate"/>
    <x v="0"/>
    <n v="1898618"/>
    <n v="810"/>
    <n v="365129"/>
    <n v="120"/>
    <n v="14.99"/>
    <x v="0"/>
    <x v="3"/>
    <x v="0"/>
    <n v="3498.85"/>
    <n v="340398.59"/>
    <x v="0"/>
    <d v="2024-11-15T00:00:00"/>
  </r>
  <r>
    <s v="L00405"/>
    <s v="C10406"/>
    <x v="1"/>
    <n v="41"/>
    <s v="Single"/>
    <s v="Graduate"/>
    <x v="1"/>
    <n v="865825"/>
    <n v="560"/>
    <n v="917554"/>
    <n v="24"/>
    <n v="12.13"/>
    <x v="3"/>
    <x v="4"/>
    <x v="1"/>
    <n v="42868.89"/>
    <n v="457005.58"/>
    <x v="0"/>
    <d v="2025-09-26T00:00:00"/>
  </r>
  <r>
    <s v="L00406"/>
    <s v="C10407"/>
    <x v="0"/>
    <n v="42"/>
    <s v="Married"/>
    <s v="Non Graduate"/>
    <x v="0"/>
    <n v="1387360"/>
    <n v="728"/>
    <n v="905426"/>
    <n v="60"/>
    <n v="13.31"/>
    <x v="3"/>
    <x v="2"/>
    <x v="0"/>
    <n v="17098.97"/>
    <n v="517022.06"/>
    <x v="0"/>
    <d v="2025-01-12T00:00:00"/>
  </r>
  <r>
    <s v="L00407"/>
    <s v="C10408"/>
    <x v="1"/>
    <n v="42"/>
    <s v="Married"/>
    <s v="Non Graduate"/>
    <x v="1"/>
    <n v="1992767"/>
    <n v="556"/>
    <n v="675011"/>
    <n v="84"/>
    <n v="13.48"/>
    <x v="0"/>
    <x v="3"/>
    <x v="1"/>
    <n v="9119.08"/>
    <n v="539795.13"/>
    <x v="0"/>
    <d v="2025-03-04T00:00:00"/>
  </r>
  <r>
    <s v="L00408"/>
    <s v="C10409"/>
    <x v="0"/>
    <n v="31"/>
    <s v="Married"/>
    <s v="Graduate"/>
    <x v="1"/>
    <n v="1084607"/>
    <n v="723"/>
    <n v="896279"/>
    <n v="24"/>
    <n v="9.84"/>
    <x v="2"/>
    <x v="1"/>
    <x v="0"/>
    <n v="41019.699999999997"/>
    <n v="616743.53"/>
    <x v="0"/>
    <d v="2024-07-13T00:00:00"/>
  </r>
  <r>
    <s v="L00409"/>
    <s v="C10410"/>
    <x v="1"/>
    <n v="50"/>
    <s v="Married"/>
    <s v="Non Graduate"/>
    <x v="1"/>
    <n v="1434705"/>
    <n v="614"/>
    <n v="708553"/>
    <n v="24"/>
    <n v="12.74"/>
    <x v="3"/>
    <x v="4"/>
    <x v="1"/>
    <n v="33284.28"/>
    <n v="277112.21000000002"/>
    <x v="0"/>
    <d v="2025-05-11T00:00:00"/>
  </r>
  <r>
    <s v="L00410"/>
    <s v="C10411"/>
    <x v="1"/>
    <n v="26"/>
    <s v="Single"/>
    <s v="Non Graduate"/>
    <x v="1"/>
    <n v="1770941"/>
    <n v="832"/>
    <n v="1896028"/>
    <n v="36"/>
    <n v="13.54"/>
    <x v="4"/>
    <x v="0"/>
    <x v="0"/>
    <n v="59798.62"/>
    <n v="636616.68999999994"/>
    <x v="0"/>
    <d v="2025-05-07T00:00:00"/>
  </r>
  <r>
    <s v="L00411"/>
    <s v="C10412"/>
    <x v="1"/>
    <n v="54"/>
    <s v="Single"/>
    <s v="Graduate"/>
    <x v="1"/>
    <n v="477063"/>
    <n v="743"/>
    <n v="879707"/>
    <n v="60"/>
    <n v="9.5399999999999991"/>
    <x v="0"/>
    <x v="2"/>
    <x v="0"/>
    <n v="16060.52"/>
    <n v="327840.94"/>
    <x v="0"/>
    <d v="2024-12-15T00:00:00"/>
  </r>
  <r>
    <s v="L00412"/>
    <s v="C10413"/>
    <x v="0"/>
    <n v="40"/>
    <s v="Single"/>
    <s v="Non Graduate"/>
    <x v="1"/>
    <n v="470098"/>
    <n v="825"/>
    <n v="1175714"/>
    <n v="84"/>
    <n v="9.64"/>
    <x v="1"/>
    <x v="5"/>
    <x v="0"/>
    <n v="15345.87"/>
    <n v="709879.87"/>
    <x v="0"/>
    <d v="2024-01-16T00:00:00"/>
  </r>
  <r>
    <s v="L00413"/>
    <s v="C10414"/>
    <x v="1"/>
    <n v="36"/>
    <s v="Married"/>
    <s v="Non Graduate"/>
    <x v="1"/>
    <n v="338160"/>
    <n v="825"/>
    <n v="1806358"/>
    <n v="48"/>
    <n v="9.77"/>
    <x v="1"/>
    <x v="0"/>
    <x v="1"/>
    <n v="41309.15"/>
    <n v="999884.58"/>
    <x v="0"/>
    <d v="2024-08-16T00:00:00"/>
  </r>
  <r>
    <s v="L00414"/>
    <s v="C10415"/>
    <x v="0"/>
    <n v="44"/>
    <s v="Married"/>
    <s v="Non Graduate"/>
    <x v="0"/>
    <n v="1489744"/>
    <n v="779"/>
    <n v="1317475"/>
    <n v="120"/>
    <n v="11.79"/>
    <x v="2"/>
    <x v="2"/>
    <x v="0"/>
    <n v="12273.38"/>
    <n v="435482.84"/>
    <x v="0"/>
    <d v="2025-03-19T00:00:00"/>
  </r>
  <r>
    <s v="L00415"/>
    <s v="C10416"/>
    <x v="1"/>
    <n v="29"/>
    <s v="Single"/>
    <s v="Graduate"/>
    <x v="0"/>
    <n v="696504"/>
    <n v="728"/>
    <n v="1843021"/>
    <n v="24"/>
    <n v="8.99"/>
    <x v="2"/>
    <x v="4"/>
    <x v="0"/>
    <n v="83696.19"/>
    <n v="267074.57"/>
    <x v="0"/>
    <d v="2024-09-02T00:00:00"/>
  </r>
  <r>
    <s v="L00416"/>
    <s v="C10417"/>
    <x v="1"/>
    <n v="25"/>
    <s v="Single"/>
    <s v="Graduate"/>
    <x v="0"/>
    <n v="801818"/>
    <n v="826"/>
    <n v="479154"/>
    <n v="12"/>
    <n v="14.42"/>
    <x v="2"/>
    <x v="4"/>
    <x v="0"/>
    <n v="45687.33"/>
    <n v="99463.18"/>
    <x v="0"/>
    <d v="2025-08-03T00:00:00"/>
  </r>
  <r>
    <s v="L00417"/>
    <s v="C10418"/>
    <x v="1"/>
    <n v="29"/>
    <s v="Married"/>
    <s v="Graduate"/>
    <x v="0"/>
    <n v="1112028"/>
    <n v="824"/>
    <n v="1772365"/>
    <n v="84"/>
    <n v="14.9"/>
    <x v="0"/>
    <x v="3"/>
    <x v="0"/>
    <n v="24243.42"/>
    <n v="401609.53"/>
    <x v="0"/>
    <d v="2024-08-23T00:00:00"/>
  </r>
  <r>
    <s v="L00418"/>
    <s v="C10419"/>
    <x v="1"/>
    <n v="59"/>
    <s v="Single"/>
    <s v="Non Graduate"/>
    <x v="1"/>
    <n v="896698"/>
    <n v="669"/>
    <n v="1929080"/>
    <n v="240"/>
    <n v="12.33"/>
    <x v="4"/>
    <x v="5"/>
    <x v="0"/>
    <n v="9028.9"/>
    <n v="1758871.14"/>
    <x v="0"/>
    <d v="2024-04-09T00:00:00"/>
  </r>
  <r>
    <s v="L00419"/>
    <s v="C10420"/>
    <x v="1"/>
    <n v="54"/>
    <s v="Married"/>
    <s v="Graduate"/>
    <x v="1"/>
    <n v="1824862"/>
    <n v="760"/>
    <n v="491898"/>
    <n v="60"/>
    <n v="14.03"/>
    <x v="2"/>
    <x v="1"/>
    <x v="0"/>
    <n v="9348.52"/>
    <n v="325038.53000000003"/>
    <x v="0"/>
    <d v="2025-09-04T00:00:00"/>
  </r>
  <r>
    <s v="L00420"/>
    <s v="C10421"/>
    <x v="1"/>
    <n v="40"/>
    <s v="Single"/>
    <s v="Graduate"/>
    <x v="0"/>
    <n v="1746237"/>
    <n v="576"/>
    <n v="797248"/>
    <n v="12"/>
    <n v="9.73"/>
    <x v="0"/>
    <x v="2"/>
    <x v="0"/>
    <n v="72901.69"/>
    <n v="128050.58"/>
    <x v="0"/>
    <d v="2024-03-03T00:00:00"/>
  </r>
  <r>
    <s v="L00421"/>
    <s v="C10422"/>
    <x v="1"/>
    <n v="28"/>
    <s v="Married"/>
    <s v="Graduate"/>
    <x v="0"/>
    <n v="1519423"/>
    <n v="729"/>
    <n v="1134784"/>
    <n v="84"/>
    <n v="11.23"/>
    <x v="4"/>
    <x v="5"/>
    <x v="0"/>
    <n v="15026.43"/>
    <n v="830972.95"/>
    <x v="0"/>
    <d v="2025-03-12T00:00:00"/>
  </r>
  <r>
    <s v="L00422"/>
    <s v="C10423"/>
    <x v="1"/>
    <n v="54"/>
    <s v="Single"/>
    <s v="Non Graduate"/>
    <x v="1"/>
    <n v="897386"/>
    <n v="844"/>
    <n v="1684138"/>
    <n v="24"/>
    <n v="12.16"/>
    <x v="4"/>
    <x v="4"/>
    <x v="0"/>
    <n v="78705.38"/>
    <n v="537914.26"/>
    <x v="0"/>
    <d v="2025-10-09T00:00:00"/>
  </r>
  <r>
    <s v="L00423"/>
    <s v="C10424"/>
    <x v="1"/>
    <n v="30"/>
    <s v="Single"/>
    <s v="Non Graduate"/>
    <x v="0"/>
    <n v="1378148"/>
    <n v="694"/>
    <n v="1226884"/>
    <n v="180"/>
    <n v="9.91"/>
    <x v="4"/>
    <x v="2"/>
    <x v="0"/>
    <n v="7491.49"/>
    <n v="617714.06999999995"/>
    <x v="0"/>
    <d v="2024-08-28T00:00:00"/>
  </r>
  <r>
    <s v="L00424"/>
    <s v="C10425"/>
    <x v="1"/>
    <n v="54"/>
    <s v="Married"/>
    <s v="Graduate"/>
    <x v="0"/>
    <n v="613289"/>
    <n v="759"/>
    <n v="874878"/>
    <n v="120"/>
    <n v="13.76"/>
    <x v="1"/>
    <x v="3"/>
    <x v="0"/>
    <n v="8293.84"/>
    <n v="262635.52000000002"/>
    <x v="0"/>
    <d v="2025-06-15T00:00:00"/>
  </r>
  <r>
    <s v="L00425"/>
    <s v="C10426"/>
    <x v="0"/>
    <n v="47"/>
    <s v="Married"/>
    <s v="Non Graduate"/>
    <x v="1"/>
    <n v="1563881"/>
    <n v="596"/>
    <n v="227669"/>
    <n v="84"/>
    <n v="11.35"/>
    <x v="0"/>
    <x v="3"/>
    <x v="0"/>
    <n v="3017.97"/>
    <n v="181466.95"/>
    <x v="1"/>
    <d v="2024-07-01T00:00:00"/>
  </r>
  <r>
    <s v="L00426"/>
    <s v="C10427"/>
    <x v="0"/>
    <n v="48"/>
    <s v="Married"/>
    <s v="Non Graduate"/>
    <x v="1"/>
    <n v="837161"/>
    <n v="662"/>
    <n v="733396"/>
    <n v="84"/>
    <n v="12.3"/>
    <x v="4"/>
    <x v="2"/>
    <x v="0"/>
    <n v="9804.81"/>
    <n v="730805.75"/>
    <x v="0"/>
    <d v="2025-07-12T00:00:00"/>
  </r>
  <r>
    <s v="L00427"/>
    <s v="C10428"/>
    <x v="1"/>
    <n v="53"/>
    <s v="Single"/>
    <s v="Non Graduate"/>
    <x v="0"/>
    <n v="500585"/>
    <n v="783"/>
    <n v="139747"/>
    <n v="120"/>
    <n v="11.87"/>
    <x v="1"/>
    <x v="2"/>
    <x v="0"/>
    <n v="1302.79"/>
    <n v="42616.18"/>
    <x v="0"/>
    <d v="2025-02-08T00:00:00"/>
  </r>
  <r>
    <s v="L00428"/>
    <s v="C10429"/>
    <x v="1"/>
    <n v="32"/>
    <s v="Single"/>
    <s v="Non Graduate"/>
    <x v="1"/>
    <n v="906874"/>
    <n v="684"/>
    <n v="1751484"/>
    <n v="36"/>
    <n v="8.65"/>
    <x v="4"/>
    <x v="1"/>
    <x v="0"/>
    <n v="52860.76"/>
    <n v="632621.23"/>
    <x v="0"/>
    <d v="2025-02-07T00:00:00"/>
  </r>
  <r>
    <s v="L00429"/>
    <s v="C10430"/>
    <x v="1"/>
    <n v="49"/>
    <s v="Single"/>
    <s v="Graduate"/>
    <x v="1"/>
    <n v="525334"/>
    <n v="699"/>
    <n v="170858"/>
    <n v="48"/>
    <n v="14.38"/>
    <x v="2"/>
    <x v="0"/>
    <x v="0"/>
    <n v="4071.4"/>
    <n v="115601.54"/>
    <x v="0"/>
    <d v="2025-12-26T00:00:00"/>
  </r>
  <r>
    <s v="L00430"/>
    <s v="C10431"/>
    <x v="1"/>
    <n v="21"/>
    <s v="Single"/>
    <s v="Graduate"/>
    <x v="0"/>
    <n v="1221937"/>
    <n v="615"/>
    <n v="1605550"/>
    <n v="24"/>
    <n v="10.75"/>
    <x v="3"/>
    <x v="3"/>
    <x v="1"/>
    <n v="74089.440000000002"/>
    <n v="713713.21"/>
    <x v="0"/>
    <d v="2025-02-01T00:00:00"/>
  </r>
  <r>
    <s v="L00431"/>
    <s v="C10432"/>
    <x v="0"/>
    <n v="53"/>
    <s v="Married"/>
    <s v="Non Graduate"/>
    <x v="1"/>
    <n v="1334780"/>
    <n v="678"/>
    <n v="228735"/>
    <n v="36"/>
    <n v="14.06"/>
    <x v="4"/>
    <x v="5"/>
    <x v="0"/>
    <n v="7247.09"/>
    <n v="210790.59"/>
    <x v="0"/>
    <d v="2025-04-29T00:00:00"/>
  </r>
  <r>
    <s v="L00432"/>
    <s v="C10433"/>
    <x v="1"/>
    <n v="26"/>
    <s v="Single"/>
    <s v="Graduate"/>
    <x v="1"/>
    <n v="968667"/>
    <n v="842"/>
    <n v="1040906"/>
    <n v="36"/>
    <n v="9.0500000000000007"/>
    <x v="3"/>
    <x v="1"/>
    <x v="0"/>
    <n v="31530.78"/>
    <n v="186227.83"/>
    <x v="0"/>
    <d v="2025-05-29T00:00:00"/>
  </r>
  <r>
    <s v="L00433"/>
    <s v="C10434"/>
    <x v="1"/>
    <n v="39"/>
    <s v="Married"/>
    <s v="Non Graduate"/>
    <x v="1"/>
    <n v="1435934"/>
    <n v="650"/>
    <n v="655812"/>
    <n v="24"/>
    <n v="8.73"/>
    <x v="3"/>
    <x v="3"/>
    <x v="1"/>
    <n v="29711.02"/>
    <n v="188300.11"/>
    <x v="0"/>
    <d v="2025-03-16T00:00:00"/>
  </r>
  <r>
    <s v="L00434"/>
    <s v="C10435"/>
    <x v="0"/>
    <n v="59"/>
    <s v="Married"/>
    <s v="Non Graduate"/>
    <x v="0"/>
    <n v="447091"/>
    <n v="644"/>
    <n v="1360313"/>
    <n v="84"/>
    <n v="9.8800000000000008"/>
    <x v="1"/>
    <x v="4"/>
    <x v="0"/>
    <n v="17794.189999999999"/>
    <n v="562705.43999999994"/>
    <x v="0"/>
    <d v="2025-10-06T00:00:00"/>
  </r>
  <r>
    <s v="L00435"/>
    <s v="C10436"/>
    <x v="0"/>
    <n v="46"/>
    <s v="Single"/>
    <s v="Graduate"/>
    <x v="0"/>
    <n v="717699"/>
    <n v="556"/>
    <n v="949007"/>
    <n v="12"/>
    <n v="14.77"/>
    <x v="2"/>
    <x v="0"/>
    <x v="0"/>
    <n v="90764.61"/>
    <n v="921194.11"/>
    <x v="0"/>
    <d v="2025-11-14T00:00:00"/>
  </r>
  <r>
    <s v="L00436"/>
    <s v="C10437"/>
    <x v="0"/>
    <n v="41"/>
    <s v="Married"/>
    <s v="Graduate"/>
    <x v="0"/>
    <n v="1861340"/>
    <n v="719"/>
    <n v="1104360"/>
    <n v="120"/>
    <n v="8.6999999999999993"/>
    <x v="2"/>
    <x v="4"/>
    <x v="0"/>
    <n v="10003.66"/>
    <n v="859023.48"/>
    <x v="0"/>
    <d v="2025-05-15T00:00:00"/>
  </r>
  <r>
    <s v="L00437"/>
    <s v="C10438"/>
    <x v="1"/>
    <n v="52"/>
    <s v="Married"/>
    <s v="Non Graduate"/>
    <x v="0"/>
    <n v="871432"/>
    <n v="583"/>
    <n v="1337468"/>
    <n v="48"/>
    <n v="12.9"/>
    <x v="1"/>
    <x v="0"/>
    <x v="0"/>
    <n v="31458.36"/>
    <n v="778792.23"/>
    <x v="1"/>
    <d v="2025-07-28T00:00:00"/>
  </r>
  <r>
    <s v="L00438"/>
    <s v="C10439"/>
    <x v="0"/>
    <n v="59"/>
    <s v="Single"/>
    <s v="Graduate"/>
    <x v="1"/>
    <n v="1510827"/>
    <n v="806"/>
    <n v="1082422"/>
    <n v="84"/>
    <n v="8.7100000000000009"/>
    <x v="0"/>
    <x v="5"/>
    <x v="0"/>
    <n v="14008.34"/>
    <n v="568262.43000000005"/>
    <x v="0"/>
    <d v="2024-06-28T00:00:00"/>
  </r>
  <r>
    <s v="L00439"/>
    <s v="C10440"/>
    <x v="1"/>
    <n v="41"/>
    <s v="Married"/>
    <s v="Non Graduate"/>
    <x v="0"/>
    <n v="1216517"/>
    <n v="819"/>
    <n v="1754236"/>
    <n v="48"/>
    <n v="11.18"/>
    <x v="0"/>
    <x v="2"/>
    <x v="0"/>
    <n v="40632.49"/>
    <n v="1225531.3899999999"/>
    <x v="0"/>
    <d v="2025-10-12T00:00:00"/>
  </r>
  <r>
    <s v="L00440"/>
    <s v="C10441"/>
    <x v="0"/>
    <n v="46"/>
    <s v="Single"/>
    <s v="Non Graduate"/>
    <x v="1"/>
    <n v="646677"/>
    <n v="587"/>
    <n v="1101630"/>
    <n v="240"/>
    <n v="12.08"/>
    <x v="3"/>
    <x v="2"/>
    <x v="0"/>
    <n v="5144.6099999999997"/>
    <n v="532966.26"/>
    <x v="1"/>
    <d v="2024-04-05T00:00:00"/>
  </r>
  <r>
    <s v="L00441"/>
    <s v="C10442"/>
    <x v="1"/>
    <n v="25"/>
    <s v="Single"/>
    <s v="Graduate"/>
    <x v="1"/>
    <n v="978027"/>
    <n v="574"/>
    <n v="1084606"/>
    <n v="240"/>
    <n v="11.98"/>
    <x v="4"/>
    <x v="5"/>
    <x v="0"/>
    <n v="5060.59"/>
    <n v="459422.87"/>
    <x v="1"/>
    <d v="2024-02-20T00:00:00"/>
  </r>
  <r>
    <s v="L00442"/>
    <s v="C10443"/>
    <x v="1"/>
    <n v="49"/>
    <s v="Single"/>
    <s v="Non Graduate"/>
    <x v="0"/>
    <n v="1246301"/>
    <n v="648"/>
    <n v="1139809"/>
    <n v="180"/>
    <n v="13.01"/>
    <x v="4"/>
    <x v="1"/>
    <x v="1"/>
    <n v="7156.1"/>
    <n v="973392.88"/>
    <x v="0"/>
    <d v="2025-02-24T00:00:00"/>
  </r>
  <r>
    <s v="L00443"/>
    <s v="C10444"/>
    <x v="1"/>
    <n v="55"/>
    <s v="Single"/>
    <s v="Non Graduate"/>
    <x v="0"/>
    <n v="333605"/>
    <n v="765"/>
    <n v="1994197"/>
    <n v="60"/>
    <n v="8.31"/>
    <x v="0"/>
    <x v="4"/>
    <x v="1"/>
    <n v="35998.58"/>
    <n v="1780389.63"/>
    <x v="0"/>
    <d v="2025-01-19T00:00:00"/>
  </r>
  <r>
    <s v="L00444"/>
    <s v="C10445"/>
    <x v="1"/>
    <n v="49"/>
    <s v="Single"/>
    <s v="Graduate"/>
    <x v="0"/>
    <n v="636517"/>
    <n v="752"/>
    <n v="795108"/>
    <n v="36"/>
    <n v="9.5"/>
    <x v="4"/>
    <x v="2"/>
    <x v="0"/>
    <n v="24184.53"/>
    <n v="552079.05000000005"/>
    <x v="0"/>
    <d v="2025-11-09T00:00:00"/>
  </r>
  <r>
    <s v="L00445"/>
    <s v="C10446"/>
    <x v="1"/>
    <n v="22"/>
    <s v="Married"/>
    <s v="Non Graduate"/>
    <x v="0"/>
    <n v="1217077"/>
    <n v="641"/>
    <n v="1967886"/>
    <n v="48"/>
    <n v="15.21"/>
    <x v="3"/>
    <x v="0"/>
    <x v="1"/>
    <n v="47233.36"/>
    <n v="997945.57"/>
    <x v="0"/>
    <d v="2024-01-27T00:00:00"/>
  </r>
  <r>
    <s v="L00446"/>
    <s v="C10447"/>
    <x v="0"/>
    <n v="52"/>
    <s v="Single"/>
    <s v="Non Graduate"/>
    <x v="0"/>
    <n v="1490481"/>
    <n v="634"/>
    <n v="940901"/>
    <n v="180"/>
    <n v="15.03"/>
    <x v="1"/>
    <x v="4"/>
    <x v="1"/>
    <n v="6012.88"/>
    <n v="728544.11"/>
    <x v="0"/>
    <d v="2025-05-20T00:00:00"/>
  </r>
  <r>
    <s v="L00447"/>
    <s v="C10448"/>
    <x v="1"/>
    <n v="46"/>
    <s v="Married"/>
    <s v="Non Graduate"/>
    <x v="1"/>
    <n v="753666"/>
    <n v="807"/>
    <n v="1313000"/>
    <n v="240"/>
    <n v="8.9499999999999993"/>
    <x v="3"/>
    <x v="4"/>
    <x v="0"/>
    <n v="5960.47"/>
    <n v="483407.32"/>
    <x v="0"/>
    <d v="2024-04-16T00:00:00"/>
  </r>
  <r>
    <s v="L00448"/>
    <s v="C10449"/>
    <x v="0"/>
    <n v="52"/>
    <s v="Married"/>
    <s v="Non Graduate"/>
    <x v="0"/>
    <n v="674711"/>
    <n v="594"/>
    <n v="903528"/>
    <n v="24"/>
    <n v="11.61"/>
    <x v="3"/>
    <x v="4"/>
    <x v="0"/>
    <n v="42017.82"/>
    <n v="329372.18"/>
    <x v="0"/>
    <d v="2024-12-28T00:00:00"/>
  </r>
  <r>
    <s v="L00449"/>
    <s v="C10450"/>
    <x v="0"/>
    <n v="34"/>
    <s v="Single"/>
    <s v="Non Graduate"/>
    <x v="0"/>
    <n v="1638086"/>
    <n v="753"/>
    <n v="656581"/>
    <n v="36"/>
    <n v="7.71"/>
    <x v="3"/>
    <x v="0"/>
    <x v="0"/>
    <n v="19644.54"/>
    <n v="146068.49"/>
    <x v="0"/>
    <d v="2025-11-24T00:00:00"/>
  </r>
  <r>
    <s v="L00450"/>
    <s v="C10451"/>
    <x v="1"/>
    <n v="53"/>
    <s v="Single"/>
    <s v="Graduate"/>
    <x v="1"/>
    <n v="1029575"/>
    <n v="787"/>
    <n v="1531944"/>
    <n v="84"/>
    <n v="12.16"/>
    <x v="0"/>
    <x v="4"/>
    <x v="0"/>
    <n v="20455.099999999999"/>
    <n v="243945.97"/>
    <x v="0"/>
    <d v="2024-04-12T00:00:00"/>
  </r>
  <r>
    <s v="L00451"/>
    <s v="C10452"/>
    <x v="0"/>
    <n v="36"/>
    <s v="Single"/>
    <s v="Non Graduate"/>
    <x v="1"/>
    <n v="382181"/>
    <n v="753"/>
    <n v="714365"/>
    <n v="36"/>
    <n v="14.37"/>
    <x v="2"/>
    <x v="0"/>
    <x v="0"/>
    <n v="22694.98"/>
    <n v="371479.26"/>
    <x v="0"/>
    <d v="2025-04-20T00:00:00"/>
  </r>
  <r>
    <s v="L00452"/>
    <s v="C10453"/>
    <x v="1"/>
    <n v="38"/>
    <s v="Married"/>
    <s v="Graduate"/>
    <x v="1"/>
    <n v="521400"/>
    <n v="735"/>
    <n v="244126"/>
    <n v="84"/>
    <n v="14.85"/>
    <x v="0"/>
    <x v="5"/>
    <x v="0"/>
    <n v="3337.84"/>
    <n v="235523.05"/>
    <x v="0"/>
    <d v="2025-05-29T00:00:00"/>
  </r>
  <r>
    <s v="L00453"/>
    <s v="C10454"/>
    <x v="1"/>
    <n v="46"/>
    <s v="Single"/>
    <s v="Non Graduate"/>
    <x v="1"/>
    <n v="1443496"/>
    <n v="593"/>
    <n v="1428189"/>
    <n v="240"/>
    <n v="13.04"/>
    <x v="2"/>
    <x v="3"/>
    <x v="0"/>
    <n v="6726.77"/>
    <n v="677371.86"/>
    <x v="1"/>
    <d v="2025-02-19T00:00:00"/>
  </r>
  <r>
    <s v="L00454"/>
    <s v="C10455"/>
    <x v="1"/>
    <n v="33"/>
    <s v="Single"/>
    <s v="Graduate"/>
    <x v="0"/>
    <n v="260609"/>
    <n v="577"/>
    <n v="896794"/>
    <n v="120"/>
    <n v="13.6"/>
    <x v="1"/>
    <x v="5"/>
    <x v="0"/>
    <n v="8489.65"/>
    <n v="202459.74"/>
    <x v="1"/>
    <d v="2024-01-15T00:00:00"/>
  </r>
  <r>
    <s v="L00455"/>
    <s v="C10456"/>
    <x v="0"/>
    <n v="43"/>
    <s v="Married"/>
    <s v="Non Graduate"/>
    <x v="0"/>
    <n v="516930"/>
    <n v="821"/>
    <n v="245443"/>
    <n v="120"/>
    <n v="10.47"/>
    <x v="4"/>
    <x v="2"/>
    <x v="0"/>
    <n v="2259.5100000000002"/>
    <n v="148100.99"/>
    <x v="0"/>
    <d v="2025-01-29T00:00:00"/>
  </r>
  <r>
    <s v="L00456"/>
    <s v="C10457"/>
    <x v="0"/>
    <n v="57"/>
    <s v="Married"/>
    <s v="Non Graduate"/>
    <x v="1"/>
    <n v="342315"/>
    <n v="843"/>
    <n v="344104"/>
    <n v="12"/>
    <n v="7.58"/>
    <x v="2"/>
    <x v="2"/>
    <x v="1"/>
    <n v="30848.92"/>
    <n v="105696.22"/>
    <x v="0"/>
    <d v="2024-01-20T00:00:00"/>
  </r>
  <r>
    <s v="L00457"/>
    <s v="C10458"/>
    <x v="0"/>
    <n v="23"/>
    <s v="Married"/>
    <s v="Graduate"/>
    <x v="1"/>
    <n v="1830218"/>
    <n v="554"/>
    <n v="990643"/>
    <n v="12"/>
    <n v="8.48"/>
    <x v="4"/>
    <x v="0"/>
    <x v="0"/>
    <n v="89554.13"/>
    <n v="470797.95"/>
    <x v="0"/>
    <d v="2025-10-03T00:00:00"/>
  </r>
  <r>
    <s v="L00458"/>
    <s v="C10459"/>
    <x v="0"/>
    <n v="25"/>
    <s v="Single"/>
    <s v="Graduate"/>
    <x v="0"/>
    <n v="1143144"/>
    <n v="842"/>
    <n v="1236466"/>
    <n v="240"/>
    <n v="14.52"/>
    <x v="0"/>
    <x v="1"/>
    <x v="0"/>
    <n v="5900"/>
    <n v="1138018.21"/>
    <x v="0"/>
    <d v="2024-08-14T00:00:00"/>
  </r>
  <r>
    <s v="L00459"/>
    <s v="C10460"/>
    <x v="0"/>
    <n v="21"/>
    <s v="Single"/>
    <s v="Non Graduate"/>
    <x v="1"/>
    <n v="1965556"/>
    <n v="848"/>
    <n v="562250"/>
    <n v="84"/>
    <n v="14.86"/>
    <x v="4"/>
    <x v="5"/>
    <x v="0"/>
    <n v="7688.1"/>
    <n v="479341.33"/>
    <x v="0"/>
    <d v="2025-01-04T00:00:00"/>
  </r>
  <r>
    <s v="L00460"/>
    <s v="C10461"/>
    <x v="1"/>
    <n v="22"/>
    <s v="Married"/>
    <s v="Non Graduate"/>
    <x v="0"/>
    <n v="1215789"/>
    <n v="728"/>
    <n v="625498"/>
    <n v="24"/>
    <n v="11.04"/>
    <x v="0"/>
    <x v="4"/>
    <x v="0"/>
    <n v="28939.71"/>
    <n v="457068.94"/>
    <x v="0"/>
    <d v="2024-05-19T00:00:00"/>
  </r>
  <r>
    <s v="L00461"/>
    <s v="C10462"/>
    <x v="0"/>
    <n v="57"/>
    <s v="Single"/>
    <s v="Graduate"/>
    <x v="0"/>
    <n v="1155644"/>
    <n v="755"/>
    <n v="1006450"/>
    <n v="36"/>
    <n v="8.83"/>
    <x v="0"/>
    <x v="2"/>
    <x v="0"/>
    <n v="30425.54"/>
    <n v="395415.6"/>
    <x v="0"/>
    <d v="2025-05-29T00:00:00"/>
  </r>
  <r>
    <s v="L00462"/>
    <s v="C10463"/>
    <x v="1"/>
    <n v="28"/>
    <s v="Single"/>
    <s v="Non Graduate"/>
    <x v="1"/>
    <n v="638281"/>
    <n v="815"/>
    <n v="406693"/>
    <n v="120"/>
    <n v="14.22"/>
    <x v="2"/>
    <x v="5"/>
    <x v="0"/>
    <n v="3871.04"/>
    <n v="330267.96999999997"/>
    <x v="0"/>
    <d v="2025-12-01T00:00:00"/>
  </r>
  <r>
    <s v="L00463"/>
    <s v="C10464"/>
    <x v="1"/>
    <n v="60"/>
    <s v="Single"/>
    <s v="Graduate"/>
    <x v="0"/>
    <n v="545335"/>
    <n v="774"/>
    <n v="1218539"/>
    <n v="120"/>
    <n v="11.57"/>
    <x v="2"/>
    <x v="2"/>
    <x v="0"/>
    <n v="11329.37"/>
    <n v="853228.62"/>
    <x v="0"/>
    <d v="2025-06-24T00:00:00"/>
  </r>
  <r>
    <s v="L00464"/>
    <s v="C10465"/>
    <x v="1"/>
    <n v="33"/>
    <s v="Single"/>
    <s v="Non Graduate"/>
    <x v="1"/>
    <n v="333694"/>
    <n v="582"/>
    <n v="1554301"/>
    <n v="60"/>
    <n v="8.2799999999999994"/>
    <x v="1"/>
    <x v="3"/>
    <x v="1"/>
    <n v="28049.95"/>
    <n v="1297343.08"/>
    <x v="0"/>
    <d v="2025-08-06T00:00:00"/>
  </r>
  <r>
    <s v="L00465"/>
    <s v="C10466"/>
    <x v="1"/>
    <n v="58"/>
    <s v="Single"/>
    <s v="Non Graduate"/>
    <x v="0"/>
    <n v="1072376"/>
    <n v="763"/>
    <n v="1506523"/>
    <n v="12"/>
    <n v="11.47"/>
    <x v="1"/>
    <x v="4"/>
    <x v="0"/>
    <n v="139943.43"/>
    <n v="357577.04"/>
    <x v="0"/>
    <d v="2025-04-02T00:00:00"/>
  </r>
  <r>
    <s v="L00466"/>
    <s v="C10467"/>
    <x v="1"/>
    <n v="51"/>
    <s v="Married"/>
    <s v="Graduate"/>
    <x v="0"/>
    <n v="1226150"/>
    <n v="587"/>
    <n v="785439"/>
    <n v="60"/>
    <n v="13.84"/>
    <x v="4"/>
    <x v="3"/>
    <x v="0"/>
    <n v="14902.4"/>
    <n v="594568.16"/>
    <x v="1"/>
    <d v="2025-12-29T00:00:00"/>
  </r>
  <r>
    <s v="L00467"/>
    <s v="C10468"/>
    <x v="0"/>
    <n v="59"/>
    <s v="Married"/>
    <s v="Graduate"/>
    <x v="0"/>
    <n v="1390808"/>
    <n v="804"/>
    <n v="1321128"/>
    <n v="60"/>
    <n v="10.85"/>
    <x v="1"/>
    <x v="3"/>
    <x v="0"/>
    <n v="24407.84"/>
    <n v="582212.39"/>
    <x v="0"/>
    <d v="2025-10-23T00:00:00"/>
  </r>
  <r>
    <s v="L00468"/>
    <s v="C10469"/>
    <x v="0"/>
    <n v="22"/>
    <s v="Single"/>
    <s v="Non Graduate"/>
    <x v="1"/>
    <n v="395740"/>
    <n v="771"/>
    <n v="1735109"/>
    <n v="240"/>
    <n v="10.72"/>
    <x v="0"/>
    <x v="5"/>
    <x v="1"/>
    <n v="8004.64"/>
    <n v="1474821.4"/>
    <x v="0"/>
    <d v="2024-10-18T00:00:00"/>
  </r>
  <r>
    <s v="L00469"/>
    <s v="C10470"/>
    <x v="1"/>
    <n v="55"/>
    <s v="Married"/>
    <s v="Non Graduate"/>
    <x v="1"/>
    <n v="309872"/>
    <n v="583"/>
    <n v="1962220"/>
    <n v="60"/>
    <n v="10.41"/>
    <x v="0"/>
    <x v="3"/>
    <x v="1"/>
    <n v="36108.120000000003"/>
    <n v="1234147.51"/>
    <x v="0"/>
    <d v="2024-12-03T00:00:00"/>
  </r>
  <r>
    <s v="L00470"/>
    <s v="C10471"/>
    <x v="1"/>
    <n v="32"/>
    <s v="Married"/>
    <s v="Graduate"/>
    <x v="1"/>
    <n v="593608"/>
    <n v="834"/>
    <n v="1376559"/>
    <n v="240"/>
    <n v="9.75"/>
    <x v="0"/>
    <x v="2"/>
    <x v="0"/>
    <n v="6294.89"/>
    <n v="1112167.43"/>
    <x v="0"/>
    <d v="2024-05-25T00:00:00"/>
  </r>
  <r>
    <s v="L00471"/>
    <s v="C10472"/>
    <x v="0"/>
    <n v="29"/>
    <s v="Married"/>
    <s v="Non Graduate"/>
    <x v="0"/>
    <n v="1093844"/>
    <n v="709"/>
    <n v="360710"/>
    <n v="84"/>
    <n v="14.35"/>
    <x v="1"/>
    <x v="5"/>
    <x v="0"/>
    <n v="4910.38"/>
    <n v="140574.97"/>
    <x v="0"/>
    <d v="2025-11-07T00:00:00"/>
  </r>
  <r>
    <s v="L00472"/>
    <s v="C10473"/>
    <x v="0"/>
    <n v="60"/>
    <s v="Single"/>
    <s v="Non Graduate"/>
    <x v="1"/>
    <n v="1996272"/>
    <n v="748"/>
    <n v="1971119"/>
    <n v="12"/>
    <n v="15.43"/>
    <x v="4"/>
    <x v="4"/>
    <x v="0"/>
    <n v="189605.22"/>
    <n v="363183.59"/>
    <x v="0"/>
    <d v="2024-01-15T00:00:00"/>
  </r>
  <r>
    <s v="L00473"/>
    <s v="C10474"/>
    <x v="1"/>
    <n v="60"/>
    <s v="Single"/>
    <s v="Non Graduate"/>
    <x v="1"/>
    <n v="1588580"/>
    <n v="560"/>
    <n v="764948"/>
    <n v="240"/>
    <n v="12.12"/>
    <x v="0"/>
    <x v="3"/>
    <x v="0"/>
    <n v="3573.58"/>
    <n v="195338.39"/>
    <x v="1"/>
    <d v="2025-02-07T00:00:00"/>
  </r>
  <r>
    <s v="L00474"/>
    <s v="C10475"/>
    <x v="1"/>
    <n v="53"/>
    <s v="Single"/>
    <s v="Non Graduate"/>
    <x v="1"/>
    <n v="392819"/>
    <n v="651"/>
    <n v="178754"/>
    <n v="84"/>
    <n v="14.31"/>
    <x v="2"/>
    <x v="5"/>
    <x v="1"/>
    <n v="2432.54"/>
    <n v="146869.24"/>
    <x v="0"/>
    <d v="2025-10-25T00:00:00"/>
  </r>
  <r>
    <s v="L00475"/>
    <s v="C10476"/>
    <x v="1"/>
    <n v="33"/>
    <s v="Married"/>
    <s v="Graduate"/>
    <x v="0"/>
    <n v="1713436"/>
    <n v="586"/>
    <n v="498214"/>
    <n v="60"/>
    <n v="9.2899999999999991"/>
    <x v="3"/>
    <x v="0"/>
    <x v="1"/>
    <n v="9074.9699999999993"/>
    <n v="143109.95000000001"/>
    <x v="0"/>
    <d v="2024-08-09T00:00:00"/>
  </r>
  <r>
    <s v="L00476"/>
    <s v="C10477"/>
    <x v="0"/>
    <n v="52"/>
    <s v="Married"/>
    <s v="Graduate"/>
    <x v="0"/>
    <n v="1065673"/>
    <n v="556"/>
    <n v="1112715"/>
    <n v="84"/>
    <n v="14.71"/>
    <x v="2"/>
    <x v="2"/>
    <x v="1"/>
    <n v="15195.18"/>
    <n v="192856.95999999999"/>
    <x v="0"/>
    <d v="2024-12-28T00:00:00"/>
  </r>
  <r>
    <s v="L00477"/>
    <s v="C10478"/>
    <x v="1"/>
    <n v="35"/>
    <s v="Single"/>
    <s v="Graduate"/>
    <x v="0"/>
    <n v="1093476"/>
    <n v="612"/>
    <n v="621267"/>
    <n v="24"/>
    <n v="13.03"/>
    <x v="1"/>
    <x v="1"/>
    <x v="1"/>
    <n v="29259.09"/>
    <n v="453133.67"/>
    <x v="0"/>
    <d v="2025-01-11T00:00:00"/>
  </r>
  <r>
    <s v="L00478"/>
    <s v="C10479"/>
    <x v="1"/>
    <n v="38"/>
    <s v="Single"/>
    <s v="Non Graduate"/>
    <x v="1"/>
    <n v="1700677"/>
    <n v="813"/>
    <n v="760431"/>
    <n v="12"/>
    <n v="12.44"/>
    <x v="2"/>
    <x v="5"/>
    <x v="0"/>
    <n v="71252.38"/>
    <n v="502679"/>
    <x v="0"/>
    <d v="2024-11-07T00:00:00"/>
  </r>
  <r>
    <s v="L00479"/>
    <s v="C10480"/>
    <x v="1"/>
    <n v="51"/>
    <s v="Single"/>
    <s v="Non Graduate"/>
    <x v="0"/>
    <n v="454418"/>
    <n v="686"/>
    <n v="1969518"/>
    <n v="180"/>
    <n v="12.94"/>
    <x v="3"/>
    <x v="3"/>
    <x v="0"/>
    <n v="12357.63"/>
    <n v="1450430.12"/>
    <x v="0"/>
    <d v="2025-04-12T00:00:00"/>
  </r>
  <r>
    <s v="L00480"/>
    <s v="C10481"/>
    <x v="0"/>
    <n v="29"/>
    <s v="Single"/>
    <s v="Non Graduate"/>
    <x v="0"/>
    <n v="1291546"/>
    <n v="555"/>
    <n v="763031"/>
    <n v="84"/>
    <n v="10.64"/>
    <x v="2"/>
    <x v="2"/>
    <x v="1"/>
    <n v="10050.209999999999"/>
    <n v="493745.13"/>
    <x v="0"/>
    <d v="2025-05-06T00:00:00"/>
  </r>
  <r>
    <s v="L00481"/>
    <s v="C10482"/>
    <x v="1"/>
    <n v="30"/>
    <s v="Married"/>
    <s v="Non Graduate"/>
    <x v="1"/>
    <n v="287952"/>
    <n v="803"/>
    <n v="1425633"/>
    <n v="36"/>
    <n v="10.51"/>
    <x v="2"/>
    <x v="3"/>
    <x v="0"/>
    <n v="43762.97"/>
    <n v="171864.79"/>
    <x v="0"/>
    <d v="2024-04-20T00:00:00"/>
  </r>
  <r>
    <s v="L00482"/>
    <s v="C10483"/>
    <x v="1"/>
    <n v="38"/>
    <s v="Married"/>
    <s v="Non Graduate"/>
    <x v="1"/>
    <n v="468548"/>
    <n v="689"/>
    <n v="1394058"/>
    <n v="24"/>
    <n v="8"/>
    <x v="1"/>
    <x v="1"/>
    <x v="0"/>
    <n v="62732.61"/>
    <n v="529632.49"/>
    <x v="0"/>
    <d v="2025-11-23T00:00:00"/>
  </r>
  <r>
    <s v="L00483"/>
    <s v="C10484"/>
    <x v="0"/>
    <n v="39"/>
    <s v="Single"/>
    <s v="Non Graduate"/>
    <x v="0"/>
    <n v="779846"/>
    <n v="693"/>
    <n v="382301"/>
    <n v="240"/>
    <n v="13.18"/>
    <x v="0"/>
    <x v="4"/>
    <x v="0"/>
    <n v="1802.87"/>
    <n v="103916.03"/>
    <x v="0"/>
    <d v="2024-01-09T00:00:00"/>
  </r>
  <r>
    <s v="L00484"/>
    <s v="C10485"/>
    <x v="0"/>
    <n v="59"/>
    <s v="Married"/>
    <s v="Non Graduate"/>
    <x v="0"/>
    <n v="1159875"/>
    <n v="750"/>
    <n v="1582025"/>
    <n v="180"/>
    <n v="8.08"/>
    <x v="2"/>
    <x v="3"/>
    <x v="0"/>
    <n v="9499.18"/>
    <n v="1505752.36"/>
    <x v="0"/>
    <d v="2025-09-09T00:00:00"/>
  </r>
  <r>
    <s v="L00485"/>
    <s v="C10486"/>
    <x v="0"/>
    <n v="54"/>
    <s v="Married"/>
    <s v="Non Graduate"/>
    <x v="1"/>
    <n v="480172"/>
    <n v="558"/>
    <n v="1481405"/>
    <n v="84"/>
    <n v="12.84"/>
    <x v="2"/>
    <x v="0"/>
    <x v="1"/>
    <n v="19900.21"/>
    <n v="395143"/>
    <x v="0"/>
    <d v="2024-08-14T00:00:00"/>
  </r>
  <r>
    <s v="L00486"/>
    <s v="C10487"/>
    <x v="0"/>
    <n v="31"/>
    <s v="Single"/>
    <s v="Non Graduate"/>
    <x v="0"/>
    <n v="577512"/>
    <n v="667"/>
    <n v="1988397"/>
    <n v="180"/>
    <n v="10.68"/>
    <x v="1"/>
    <x v="5"/>
    <x v="0"/>
    <n v="12226.43"/>
    <n v="959232"/>
    <x v="0"/>
    <d v="2025-07-07T00:00:00"/>
  </r>
  <r>
    <s v="L00487"/>
    <s v="C10488"/>
    <x v="0"/>
    <n v="58"/>
    <s v="Married"/>
    <s v="Non Graduate"/>
    <x v="0"/>
    <n v="280180"/>
    <n v="806"/>
    <n v="1114420"/>
    <n v="84"/>
    <n v="12.07"/>
    <x v="2"/>
    <x v="3"/>
    <x v="1"/>
    <n v="14868.22"/>
    <n v="802116.96"/>
    <x v="0"/>
    <d v="2024-05-30T00:00:00"/>
  </r>
  <r>
    <s v="L00488"/>
    <s v="C10489"/>
    <x v="0"/>
    <n v="48"/>
    <s v="Single"/>
    <s v="Non Graduate"/>
    <x v="0"/>
    <n v="413570"/>
    <n v="590"/>
    <n v="346403"/>
    <n v="24"/>
    <n v="12.94"/>
    <x v="4"/>
    <x v="3"/>
    <x v="1"/>
    <n v="16301.15"/>
    <n v="258431.73"/>
    <x v="0"/>
    <d v="2025-05-21T00:00:00"/>
  </r>
  <r>
    <s v="L00489"/>
    <s v="C10490"/>
    <x v="1"/>
    <n v="23"/>
    <s v="Single"/>
    <s v="Graduate"/>
    <x v="1"/>
    <n v="1010124"/>
    <n v="678"/>
    <n v="1180452"/>
    <n v="24"/>
    <n v="12.86"/>
    <x v="2"/>
    <x v="1"/>
    <x v="0"/>
    <n v="55510.76"/>
    <n v="590043.69999999995"/>
    <x v="0"/>
    <d v="2025-02-27T00:00:00"/>
  </r>
  <r>
    <s v="L00490"/>
    <s v="C10491"/>
    <x v="1"/>
    <n v="35"/>
    <s v="Single"/>
    <s v="Graduate"/>
    <x v="1"/>
    <n v="415126"/>
    <n v="723"/>
    <n v="1027549"/>
    <n v="84"/>
    <n v="9.8699999999999992"/>
    <x v="3"/>
    <x v="4"/>
    <x v="0"/>
    <n v="13440.1"/>
    <n v="246054.12"/>
    <x v="0"/>
    <d v="2025-09-05T00:00:00"/>
  </r>
  <r>
    <s v="L00491"/>
    <s v="C10492"/>
    <x v="0"/>
    <n v="44"/>
    <s v="Married"/>
    <s v="Graduate"/>
    <x v="0"/>
    <n v="1884055"/>
    <n v="649"/>
    <n v="812587"/>
    <n v="60"/>
    <n v="9.9600000000000009"/>
    <x v="3"/>
    <x v="0"/>
    <x v="0"/>
    <n v="14892.01"/>
    <n v="783927.43"/>
    <x v="0"/>
    <d v="2024-05-07T00:00:00"/>
  </r>
  <r>
    <s v="L00492"/>
    <s v="C10493"/>
    <x v="1"/>
    <n v="45"/>
    <s v="Single"/>
    <s v="Graduate"/>
    <x v="0"/>
    <n v="1911483"/>
    <n v="764"/>
    <n v="1780534"/>
    <n v="12"/>
    <n v="8.92"/>
    <x v="4"/>
    <x v="1"/>
    <x v="0"/>
    <n v="161613.14000000001"/>
    <n v="1126051.32"/>
    <x v="0"/>
    <d v="2024-10-24T00:00:00"/>
  </r>
  <r>
    <s v="L00493"/>
    <s v="C10494"/>
    <x v="1"/>
    <n v="44"/>
    <s v="Single"/>
    <s v="Graduate"/>
    <x v="0"/>
    <n v="1081957"/>
    <n v="728"/>
    <n v="1551095"/>
    <n v="240"/>
    <n v="14.57"/>
    <x v="1"/>
    <x v="4"/>
    <x v="0"/>
    <n v="7404.54"/>
    <n v="369246.49"/>
    <x v="0"/>
    <d v="2024-02-10T00:00:00"/>
  </r>
  <r>
    <s v="L00494"/>
    <s v="C10495"/>
    <x v="0"/>
    <n v="59"/>
    <s v="Single"/>
    <s v="Non Graduate"/>
    <x v="0"/>
    <n v="1056750"/>
    <n v="739"/>
    <n v="1948813"/>
    <n v="60"/>
    <n v="11.16"/>
    <x v="3"/>
    <x v="4"/>
    <x v="0"/>
    <n v="36105.01"/>
    <n v="1055887.6000000001"/>
    <x v="0"/>
    <d v="2024-01-24T00:00:00"/>
  </r>
  <r>
    <s v="L00495"/>
    <s v="C10496"/>
    <x v="0"/>
    <n v="31"/>
    <s v="Single"/>
    <s v="Non Graduate"/>
    <x v="1"/>
    <n v="367092"/>
    <n v="823"/>
    <n v="1247882"/>
    <n v="180"/>
    <n v="14.08"/>
    <x v="4"/>
    <x v="3"/>
    <x v="1"/>
    <n v="7908.8"/>
    <n v="508624.94"/>
    <x v="0"/>
    <d v="2025-02-25T00:00:00"/>
  </r>
  <r>
    <s v="L00496"/>
    <s v="C10497"/>
    <x v="1"/>
    <n v="30"/>
    <s v="Single"/>
    <s v="Non Graduate"/>
    <x v="0"/>
    <n v="1966057"/>
    <n v="846"/>
    <n v="1930156"/>
    <n v="60"/>
    <n v="7.88"/>
    <x v="3"/>
    <x v="5"/>
    <x v="0"/>
    <n v="34704.199999999997"/>
    <n v="742409.81"/>
    <x v="0"/>
    <d v="2025-06-02T00:00:00"/>
  </r>
  <r>
    <s v="L00497"/>
    <s v="C10498"/>
    <x v="0"/>
    <n v="59"/>
    <s v="Married"/>
    <s v="Graduate"/>
    <x v="1"/>
    <n v="1250376"/>
    <n v="574"/>
    <n v="1543264"/>
    <n v="24"/>
    <n v="10.49"/>
    <x v="0"/>
    <x v="5"/>
    <x v="0"/>
    <n v="71048.02"/>
    <n v="1373965.81"/>
    <x v="1"/>
    <d v="2024-06-09T00:00:00"/>
  </r>
  <r>
    <s v="L00498"/>
    <s v="C10499"/>
    <x v="1"/>
    <n v="45"/>
    <s v="Single"/>
    <s v="Non Graduate"/>
    <x v="0"/>
    <n v="749987"/>
    <n v="738"/>
    <n v="1175906"/>
    <n v="84"/>
    <n v="14.1"/>
    <x v="0"/>
    <x v="0"/>
    <x v="0"/>
    <n v="15972.72"/>
    <n v="692292.61"/>
    <x v="0"/>
    <d v="2024-12-20T00:00:00"/>
  </r>
  <r>
    <s v="L00499"/>
    <s v="C10500"/>
    <x v="1"/>
    <n v="51"/>
    <s v="Single"/>
    <s v="Graduate"/>
    <x v="1"/>
    <n v="627509"/>
    <n v="650"/>
    <n v="1762548"/>
    <n v="120"/>
    <n v="12.39"/>
    <x v="0"/>
    <x v="5"/>
    <x v="0"/>
    <n v="16507.73"/>
    <n v="906773.51"/>
    <x v="0"/>
    <d v="2024-11-01T00:00:00"/>
  </r>
  <r>
    <s v="L00500"/>
    <s v="C10501"/>
    <x v="1"/>
    <n v="54"/>
    <s v="Single"/>
    <s v="Non Graduate"/>
    <x v="1"/>
    <n v="1998961"/>
    <n v="845"/>
    <n v="827786"/>
    <n v="120"/>
    <n v="7.96"/>
    <x v="1"/>
    <x v="3"/>
    <x v="0"/>
    <n v="7447.31"/>
    <n v="806372.39"/>
    <x v="0"/>
    <d v="2024-01-08T00:00:00"/>
  </r>
  <r>
    <s v="L00501"/>
    <s v="C10502"/>
    <x v="1"/>
    <n v="40"/>
    <s v="Single"/>
    <s v="Graduate"/>
    <x v="1"/>
    <n v="1680341"/>
    <n v="697"/>
    <n v="513293"/>
    <n v="36"/>
    <n v="13.74"/>
    <x v="0"/>
    <x v="1"/>
    <x v="0"/>
    <n v="16217.21"/>
    <n v="181484.39"/>
    <x v="0"/>
    <d v="2025-08-16T00:00:00"/>
  </r>
  <r>
    <s v="L00502"/>
    <s v="C10503"/>
    <x v="0"/>
    <n v="29"/>
    <s v="Single"/>
    <s v="Graduate"/>
    <x v="0"/>
    <n v="1019785"/>
    <n v="726"/>
    <n v="1490187"/>
    <n v="24"/>
    <n v="13.61"/>
    <x v="4"/>
    <x v="5"/>
    <x v="0"/>
    <n v="70541.73"/>
    <n v="1289536.06"/>
    <x v="0"/>
    <d v="2024-06-04T00:00:00"/>
  </r>
  <r>
    <s v="L00503"/>
    <s v="C10504"/>
    <x v="0"/>
    <n v="28"/>
    <s v="Single"/>
    <s v="Graduate"/>
    <x v="1"/>
    <n v="1197560"/>
    <n v="551"/>
    <n v="1587649"/>
    <n v="12"/>
    <n v="11.65"/>
    <x v="1"/>
    <x v="3"/>
    <x v="0"/>
    <n v="147717.51"/>
    <n v="1179219.3799999999"/>
    <x v="0"/>
    <d v="2024-02-17T00:00:00"/>
  </r>
  <r>
    <s v="L00504"/>
    <s v="C10505"/>
    <x v="1"/>
    <n v="41"/>
    <s v="Single"/>
    <s v="Graduate"/>
    <x v="0"/>
    <n v="980137"/>
    <n v="620"/>
    <n v="969915"/>
    <n v="84"/>
    <n v="14.71"/>
    <x v="1"/>
    <x v="3"/>
    <x v="1"/>
    <n v="13245.11"/>
    <n v="336174"/>
    <x v="0"/>
    <d v="2025-12-04T00:00:00"/>
  </r>
  <r>
    <s v="L00505"/>
    <s v="C10506"/>
    <x v="0"/>
    <n v="34"/>
    <s v="Single"/>
    <s v="Non Graduate"/>
    <x v="0"/>
    <n v="916318"/>
    <n v="655"/>
    <n v="1572661"/>
    <n v="120"/>
    <n v="14.6"/>
    <x v="1"/>
    <x v="2"/>
    <x v="0"/>
    <n v="15018.91"/>
    <n v="1287377.44"/>
    <x v="0"/>
    <d v="2024-03-16T00:00:00"/>
  </r>
  <r>
    <s v="L00506"/>
    <s v="C10507"/>
    <x v="0"/>
    <n v="58"/>
    <s v="Married"/>
    <s v="Non Graduate"/>
    <x v="0"/>
    <n v="1522249"/>
    <n v="738"/>
    <n v="1940430"/>
    <n v="60"/>
    <n v="13.89"/>
    <x v="4"/>
    <x v="1"/>
    <x v="0"/>
    <n v="36832.6"/>
    <n v="1569317.01"/>
    <x v="0"/>
    <d v="2025-04-14T00:00:00"/>
  </r>
  <r>
    <s v="L00507"/>
    <s v="C10508"/>
    <x v="1"/>
    <n v="41"/>
    <s v="Married"/>
    <s v="Non Graduate"/>
    <x v="1"/>
    <n v="1137444"/>
    <n v="605"/>
    <n v="1386354"/>
    <n v="180"/>
    <n v="11.6"/>
    <x v="3"/>
    <x v="4"/>
    <x v="0"/>
    <n v="8595.39"/>
    <n v="629680.18000000005"/>
    <x v="0"/>
    <d v="2024-05-22T00:00:00"/>
  </r>
  <r>
    <s v="L00508"/>
    <s v="C10509"/>
    <x v="0"/>
    <n v="51"/>
    <s v="Single"/>
    <s v="Graduate"/>
    <x v="0"/>
    <n v="1887736"/>
    <n v="762"/>
    <n v="1873583"/>
    <n v="180"/>
    <n v="10.7"/>
    <x v="1"/>
    <x v="3"/>
    <x v="0"/>
    <n v="11522.54"/>
    <n v="1830888.57"/>
    <x v="0"/>
    <d v="2025-12-19T00:00:00"/>
  </r>
  <r>
    <s v="L00509"/>
    <s v="C10510"/>
    <x v="1"/>
    <n v="60"/>
    <s v="Married"/>
    <s v="Graduate"/>
    <x v="0"/>
    <n v="576050"/>
    <n v="714"/>
    <n v="830681"/>
    <n v="48"/>
    <n v="12.03"/>
    <x v="4"/>
    <x v="4"/>
    <x v="0"/>
    <n v="19387.75"/>
    <n v="473075.51"/>
    <x v="0"/>
    <d v="2024-02-21T00:00:00"/>
  </r>
  <r>
    <s v="L00510"/>
    <s v="C10511"/>
    <x v="1"/>
    <n v="43"/>
    <s v="Married"/>
    <s v="Graduate"/>
    <x v="1"/>
    <n v="1655375"/>
    <n v="669"/>
    <n v="1050031"/>
    <n v="240"/>
    <n v="9.6199999999999992"/>
    <x v="4"/>
    <x v="4"/>
    <x v="0"/>
    <n v="4796.0200000000004"/>
    <n v="278346.90999999997"/>
    <x v="0"/>
    <d v="2024-09-22T00:00:00"/>
  </r>
  <r>
    <s v="L00511"/>
    <s v="C10512"/>
    <x v="1"/>
    <n v="42"/>
    <s v="Single"/>
    <s v="Non Graduate"/>
    <x v="1"/>
    <n v="1344464"/>
    <n v="596"/>
    <n v="1041750"/>
    <n v="240"/>
    <n v="12.34"/>
    <x v="3"/>
    <x v="4"/>
    <x v="0"/>
    <n v="4876.26"/>
    <n v="236216.95999999999"/>
    <x v="1"/>
    <d v="2024-02-25T00:00:00"/>
  </r>
  <r>
    <s v="L00512"/>
    <s v="C10513"/>
    <x v="0"/>
    <n v="38"/>
    <s v="Married"/>
    <s v="Non Graduate"/>
    <x v="1"/>
    <n v="972367"/>
    <n v="589"/>
    <n v="1017210"/>
    <n v="60"/>
    <n v="8.1300000000000008"/>
    <x v="0"/>
    <x v="1"/>
    <x v="0"/>
    <n v="18331.82"/>
    <n v="370888.99"/>
    <x v="0"/>
    <d v="2025-01-28T00:00:00"/>
  </r>
  <r>
    <s v="L00513"/>
    <s v="C10514"/>
    <x v="1"/>
    <n v="59"/>
    <s v="Single"/>
    <s v="Non Graduate"/>
    <x v="0"/>
    <n v="1811767"/>
    <n v="816"/>
    <n v="202718"/>
    <n v="180"/>
    <n v="13.37"/>
    <x v="0"/>
    <x v="1"/>
    <x v="0"/>
    <n v="1276.79"/>
    <n v="82795.16"/>
    <x v="0"/>
    <d v="2024-07-31T00:00:00"/>
  </r>
  <r>
    <s v="L00514"/>
    <s v="C10515"/>
    <x v="0"/>
    <n v="60"/>
    <s v="Single"/>
    <s v="Graduate"/>
    <x v="1"/>
    <n v="573989"/>
    <n v="698"/>
    <n v="370599"/>
    <n v="48"/>
    <n v="14.3"/>
    <x v="0"/>
    <x v="1"/>
    <x v="0"/>
    <n v="8824.89"/>
    <n v="161659.28"/>
    <x v="0"/>
    <d v="2025-05-29T00:00:00"/>
  </r>
  <r>
    <s v="L00515"/>
    <s v="C10516"/>
    <x v="0"/>
    <n v="37"/>
    <s v="Single"/>
    <s v="Non Graduate"/>
    <x v="1"/>
    <n v="531080"/>
    <n v="826"/>
    <n v="1063764"/>
    <n v="12"/>
    <n v="8.56"/>
    <x v="4"/>
    <x v="3"/>
    <x v="0"/>
    <n v="96235.18"/>
    <n v="163231.67000000001"/>
    <x v="0"/>
    <d v="2025-07-03T00:00:00"/>
  </r>
  <r>
    <s v="L00516"/>
    <s v="C10517"/>
    <x v="1"/>
    <n v="38"/>
    <s v="Married"/>
    <s v="Graduate"/>
    <x v="1"/>
    <n v="1670219"/>
    <n v="591"/>
    <n v="1744272"/>
    <n v="180"/>
    <n v="13.5"/>
    <x v="0"/>
    <x v="2"/>
    <x v="0"/>
    <n v="10998.6"/>
    <n v="268878.03999999998"/>
    <x v="1"/>
    <d v="2025-06-15T00:00:00"/>
  </r>
  <r>
    <s v="L00517"/>
    <s v="C10518"/>
    <x v="1"/>
    <n v="37"/>
    <s v="Single"/>
    <s v="Non Graduate"/>
    <x v="1"/>
    <n v="1753869"/>
    <n v="572"/>
    <n v="1575211"/>
    <n v="48"/>
    <n v="11.98"/>
    <x v="1"/>
    <x v="5"/>
    <x v="0"/>
    <n v="36748.36"/>
    <n v="535971.83999999997"/>
    <x v="1"/>
    <d v="2024-11-18T00:00:00"/>
  </r>
  <r>
    <s v="L00518"/>
    <s v="C10519"/>
    <x v="0"/>
    <n v="47"/>
    <s v="Single"/>
    <s v="Non Graduate"/>
    <x v="1"/>
    <n v="1101275"/>
    <n v="696"/>
    <n v="162000"/>
    <n v="120"/>
    <n v="13.36"/>
    <x v="4"/>
    <x v="2"/>
    <x v="0"/>
    <n v="1530.36"/>
    <n v="157958.56"/>
    <x v="0"/>
    <d v="2025-04-16T00:00:00"/>
  </r>
  <r>
    <s v="L00519"/>
    <s v="C10520"/>
    <x v="1"/>
    <n v="59"/>
    <s v="Single"/>
    <s v="Non Graduate"/>
    <x v="0"/>
    <n v="1997671"/>
    <n v="704"/>
    <n v="580605"/>
    <n v="12"/>
    <n v="11"/>
    <x v="4"/>
    <x v="5"/>
    <x v="0"/>
    <n v="53705.96"/>
    <n v="406225.94"/>
    <x v="0"/>
    <d v="2024-12-24T00:00:00"/>
  </r>
  <r>
    <s v="L00520"/>
    <s v="C10521"/>
    <x v="1"/>
    <n v="52"/>
    <s v="Married"/>
    <s v="Non Graduate"/>
    <x v="1"/>
    <n v="435275"/>
    <n v="835"/>
    <n v="1588597"/>
    <n v="84"/>
    <n v="12.21"/>
    <x v="2"/>
    <x v="4"/>
    <x v="0"/>
    <n v="21221.01"/>
    <n v="366876.42"/>
    <x v="0"/>
    <d v="2024-12-02T00:00:00"/>
  </r>
  <r>
    <s v="L00521"/>
    <s v="C10522"/>
    <x v="0"/>
    <n v="44"/>
    <s v="Single"/>
    <s v="Non Graduate"/>
    <x v="1"/>
    <n v="395072"/>
    <n v="789"/>
    <n v="1612023"/>
    <n v="240"/>
    <n v="9.44"/>
    <x v="1"/>
    <x v="4"/>
    <x v="1"/>
    <n v="7350.82"/>
    <n v="1421544.03"/>
    <x v="0"/>
    <d v="2025-12-12T00:00:00"/>
  </r>
  <r>
    <s v="L00522"/>
    <s v="C10523"/>
    <x v="0"/>
    <n v="60"/>
    <s v="Single"/>
    <s v="Graduate"/>
    <x v="1"/>
    <n v="1875266"/>
    <n v="755"/>
    <n v="1516934"/>
    <n v="24"/>
    <n v="14.83"/>
    <x v="1"/>
    <x v="2"/>
    <x v="0"/>
    <n v="72578.97"/>
    <n v="762673.69"/>
    <x v="0"/>
    <d v="2025-01-07T00:00:00"/>
  </r>
  <r>
    <s v="L00523"/>
    <s v="C10524"/>
    <x v="1"/>
    <n v="45"/>
    <s v="Single"/>
    <s v="Graduate"/>
    <x v="0"/>
    <n v="626936"/>
    <n v="562"/>
    <n v="378128"/>
    <n v="240"/>
    <n v="10.9"/>
    <x v="3"/>
    <x v="0"/>
    <x v="0"/>
    <n v="1747.27"/>
    <n v="61333.7"/>
    <x v="0"/>
    <d v="2024-08-13T00:00:00"/>
  </r>
  <r>
    <s v="L00524"/>
    <s v="C10525"/>
    <x v="0"/>
    <n v="60"/>
    <s v="Single"/>
    <s v="Non Graduate"/>
    <x v="0"/>
    <n v="1584578"/>
    <n v="646"/>
    <n v="1459085"/>
    <n v="180"/>
    <n v="14.83"/>
    <x v="2"/>
    <x v="0"/>
    <x v="0"/>
    <n v="9308.15"/>
    <n v="421177.08"/>
    <x v="0"/>
    <d v="2025-05-04T00:00:00"/>
  </r>
  <r>
    <s v="L00525"/>
    <s v="C10526"/>
    <x v="0"/>
    <n v="25"/>
    <s v="Married"/>
    <s v="Non Graduate"/>
    <x v="1"/>
    <n v="1243044"/>
    <n v="718"/>
    <n v="484091"/>
    <n v="12"/>
    <n v="11.19"/>
    <x v="0"/>
    <x v="2"/>
    <x v="0"/>
    <n v="44855.07"/>
    <n v="377795.3"/>
    <x v="0"/>
    <d v="2025-01-02T00:00:00"/>
  </r>
  <r>
    <s v="L00526"/>
    <s v="C10527"/>
    <x v="1"/>
    <n v="30"/>
    <s v="Married"/>
    <s v="Graduate"/>
    <x v="0"/>
    <n v="1421433"/>
    <n v="719"/>
    <n v="453911"/>
    <n v="12"/>
    <n v="8.42"/>
    <x v="4"/>
    <x v="2"/>
    <x v="0"/>
    <n v="41010.86"/>
    <n v="386387.67"/>
    <x v="0"/>
    <d v="2025-01-04T00:00:00"/>
  </r>
  <r>
    <s v="L00527"/>
    <s v="C10528"/>
    <x v="1"/>
    <n v="59"/>
    <s v="Married"/>
    <s v="Graduate"/>
    <x v="0"/>
    <n v="1066535"/>
    <n v="679"/>
    <n v="397797"/>
    <n v="120"/>
    <n v="9.56"/>
    <x v="3"/>
    <x v="1"/>
    <x v="0"/>
    <n v="3631.89"/>
    <n v="159513.04"/>
    <x v="0"/>
    <d v="2025-02-06T00:00:00"/>
  </r>
  <r>
    <s v="L00528"/>
    <s v="C10529"/>
    <x v="0"/>
    <n v="30"/>
    <s v="Married"/>
    <s v="Graduate"/>
    <x v="0"/>
    <n v="687929"/>
    <n v="668"/>
    <n v="1417701"/>
    <n v="36"/>
    <n v="12.89"/>
    <x v="3"/>
    <x v="1"/>
    <x v="0"/>
    <n v="44456.74"/>
    <n v="540260.96"/>
    <x v="0"/>
    <d v="2025-12-03T00:00:00"/>
  </r>
  <r>
    <s v="L00529"/>
    <s v="C10530"/>
    <x v="0"/>
    <n v="42"/>
    <s v="Married"/>
    <s v="Non Graduate"/>
    <x v="0"/>
    <n v="850335"/>
    <n v="801"/>
    <n v="842091"/>
    <n v="60"/>
    <n v="9.5299999999999994"/>
    <x v="0"/>
    <x v="1"/>
    <x v="0"/>
    <n v="15372.37"/>
    <n v="836310.62"/>
    <x v="0"/>
    <d v="2024-10-10T00:00:00"/>
  </r>
  <r>
    <s v="L00530"/>
    <s v="C10531"/>
    <x v="0"/>
    <n v="41"/>
    <s v="Married"/>
    <s v="Graduate"/>
    <x v="1"/>
    <n v="1798308"/>
    <n v="578"/>
    <n v="134674"/>
    <n v="120"/>
    <n v="9.4499999999999993"/>
    <x v="0"/>
    <x v="0"/>
    <x v="0"/>
    <n v="1228.3399999999999"/>
    <n v="49070.93"/>
    <x v="0"/>
    <d v="2024-02-22T00:00:00"/>
  </r>
  <r>
    <s v="L00531"/>
    <s v="C10532"/>
    <x v="0"/>
    <n v="32"/>
    <s v="Single"/>
    <s v="Graduate"/>
    <x v="0"/>
    <n v="979700"/>
    <n v="743"/>
    <n v="220540"/>
    <n v="84"/>
    <n v="7.73"/>
    <x v="2"/>
    <x v="4"/>
    <x v="0"/>
    <n v="2828.43"/>
    <n v="219382.42"/>
    <x v="0"/>
    <d v="2024-05-20T00:00:00"/>
  </r>
  <r>
    <s v="L00532"/>
    <s v="C10533"/>
    <x v="1"/>
    <n v="30"/>
    <s v="Single"/>
    <s v="Non Graduate"/>
    <x v="1"/>
    <n v="576177"/>
    <n v="751"/>
    <n v="246090"/>
    <n v="48"/>
    <n v="11.13"/>
    <x v="2"/>
    <x v="3"/>
    <x v="0"/>
    <n v="5697.5"/>
    <n v="191474.68"/>
    <x v="0"/>
    <d v="2025-07-16T00:00:00"/>
  </r>
  <r>
    <s v="L00533"/>
    <s v="C10534"/>
    <x v="1"/>
    <n v="26"/>
    <s v="Single"/>
    <s v="Graduate"/>
    <x v="1"/>
    <n v="706178"/>
    <n v="808"/>
    <n v="1917888"/>
    <n v="36"/>
    <n v="8.23"/>
    <x v="0"/>
    <x v="1"/>
    <x v="0"/>
    <n v="57659.17"/>
    <n v="1397293.42"/>
    <x v="0"/>
    <d v="2025-03-23T00:00:00"/>
  </r>
  <r>
    <s v="L00534"/>
    <s v="C10535"/>
    <x v="1"/>
    <n v="24"/>
    <s v="Married"/>
    <s v="Graduate"/>
    <x v="1"/>
    <n v="1553747"/>
    <n v="685"/>
    <n v="520725"/>
    <n v="36"/>
    <n v="7.81"/>
    <x v="0"/>
    <x v="1"/>
    <x v="0"/>
    <n v="15594.27"/>
    <n v="453412.18"/>
    <x v="0"/>
    <d v="2025-03-05T00:00:00"/>
  </r>
  <r>
    <s v="L00535"/>
    <s v="C10536"/>
    <x v="1"/>
    <n v="38"/>
    <s v="Married"/>
    <s v="Non Graduate"/>
    <x v="1"/>
    <n v="460298"/>
    <n v="830"/>
    <n v="657601"/>
    <n v="120"/>
    <n v="8.0500000000000007"/>
    <x v="0"/>
    <x v="2"/>
    <x v="0"/>
    <n v="5921.15"/>
    <n v="604686.36"/>
    <x v="0"/>
    <d v="2025-07-18T00:00:00"/>
  </r>
  <r>
    <s v="L00536"/>
    <s v="C10537"/>
    <x v="1"/>
    <n v="34"/>
    <s v="Single"/>
    <s v="Non Graduate"/>
    <x v="0"/>
    <n v="451075"/>
    <n v="793"/>
    <n v="881046"/>
    <n v="180"/>
    <n v="9.15"/>
    <x v="2"/>
    <x v="0"/>
    <x v="0"/>
    <n v="5342.57"/>
    <n v="292057.90000000002"/>
    <x v="0"/>
    <d v="2025-07-10T00:00:00"/>
  </r>
  <r>
    <s v="L00537"/>
    <s v="C10538"/>
    <x v="1"/>
    <n v="28"/>
    <s v="Single"/>
    <s v="Non Graduate"/>
    <x v="0"/>
    <n v="1125040"/>
    <n v="764"/>
    <n v="224625"/>
    <n v="24"/>
    <n v="10.74"/>
    <x v="4"/>
    <x v="4"/>
    <x v="0"/>
    <n v="10364.57"/>
    <n v="208906.29"/>
    <x v="0"/>
    <d v="2024-06-20T00:00:00"/>
  </r>
  <r>
    <s v="L00538"/>
    <s v="C10539"/>
    <x v="1"/>
    <n v="50"/>
    <s v="Single"/>
    <s v="Graduate"/>
    <x v="0"/>
    <n v="1525588"/>
    <n v="708"/>
    <n v="1960848"/>
    <n v="12"/>
    <n v="14.23"/>
    <x v="0"/>
    <x v="0"/>
    <x v="0"/>
    <n v="186656.39"/>
    <n v="273031.32"/>
    <x v="0"/>
    <d v="2025-06-29T00:00:00"/>
  </r>
  <r>
    <s v="L00539"/>
    <s v="C10540"/>
    <x v="0"/>
    <n v="49"/>
    <s v="Married"/>
    <s v="Graduate"/>
    <x v="0"/>
    <n v="1099800"/>
    <n v="742"/>
    <n v="668035"/>
    <n v="60"/>
    <n v="9.9"/>
    <x v="1"/>
    <x v="1"/>
    <x v="0"/>
    <n v="12236.17"/>
    <n v="155696.26"/>
    <x v="0"/>
    <d v="2024-12-27T00:00:00"/>
  </r>
  <r>
    <s v="L00540"/>
    <s v="C10541"/>
    <x v="0"/>
    <n v="32"/>
    <s v="Married"/>
    <s v="Non Graduate"/>
    <x v="0"/>
    <n v="1165008"/>
    <n v="627"/>
    <n v="952220"/>
    <n v="60"/>
    <n v="14.83"/>
    <x v="3"/>
    <x v="4"/>
    <x v="1"/>
    <n v="18223.900000000001"/>
    <n v="188138.23999999999"/>
    <x v="0"/>
    <d v="2025-05-06T00:00:00"/>
  </r>
  <r>
    <s v="L00541"/>
    <s v="C10542"/>
    <x v="1"/>
    <n v="33"/>
    <s v="Single"/>
    <s v="Graduate"/>
    <x v="0"/>
    <n v="1799145"/>
    <n v="817"/>
    <n v="1000002"/>
    <n v="120"/>
    <n v="14.76"/>
    <x v="2"/>
    <x v="1"/>
    <x v="0"/>
    <n v="9563.35"/>
    <n v="839224.24"/>
    <x v="0"/>
    <d v="2024-10-28T00:00:00"/>
  </r>
  <r>
    <s v="L00542"/>
    <s v="C10543"/>
    <x v="1"/>
    <n v="36"/>
    <s v="Married"/>
    <s v="Non Graduate"/>
    <x v="0"/>
    <n v="1871621"/>
    <n v="752"/>
    <n v="1247512"/>
    <n v="12"/>
    <n v="11.18"/>
    <x v="3"/>
    <x v="2"/>
    <x v="0"/>
    <n v="115581.99"/>
    <n v="1209973.99"/>
    <x v="0"/>
    <d v="2024-02-28T00:00:00"/>
  </r>
  <r>
    <s v="L00543"/>
    <s v="C10544"/>
    <x v="0"/>
    <n v="59"/>
    <s v="Married"/>
    <s v="Graduate"/>
    <x v="0"/>
    <n v="1854121"/>
    <n v="686"/>
    <n v="944267"/>
    <n v="24"/>
    <n v="9.57"/>
    <x v="1"/>
    <x v="5"/>
    <x v="0"/>
    <n v="43109.72"/>
    <n v="799404.35"/>
    <x v="0"/>
    <d v="2024-07-20T00:00:00"/>
  </r>
  <r>
    <s v="L00544"/>
    <s v="C10545"/>
    <x v="1"/>
    <n v="59"/>
    <s v="Single"/>
    <s v="Graduate"/>
    <x v="0"/>
    <n v="1957645"/>
    <n v="646"/>
    <n v="1952712"/>
    <n v="36"/>
    <n v="13.43"/>
    <x v="2"/>
    <x v="1"/>
    <x v="0"/>
    <n v="61526.7"/>
    <n v="1133806"/>
    <x v="0"/>
    <d v="2024-03-22T00:00:00"/>
  </r>
  <r>
    <s v="L00545"/>
    <s v="C10546"/>
    <x v="1"/>
    <n v="55"/>
    <s v="Single"/>
    <s v="Non Graduate"/>
    <x v="0"/>
    <n v="267249"/>
    <n v="671"/>
    <n v="121714"/>
    <n v="240"/>
    <n v="15.38"/>
    <x v="0"/>
    <x v="3"/>
    <x v="1"/>
    <n v="585.14"/>
    <n v="95373.48"/>
    <x v="0"/>
    <d v="2024-03-26T00:00:00"/>
  </r>
  <r>
    <s v="L00546"/>
    <s v="C10547"/>
    <x v="0"/>
    <n v="35"/>
    <s v="Married"/>
    <s v="Non Graduate"/>
    <x v="1"/>
    <n v="302241"/>
    <n v="816"/>
    <n v="455668"/>
    <n v="12"/>
    <n v="7.87"/>
    <x v="4"/>
    <x v="3"/>
    <x v="0"/>
    <n v="40960.76"/>
    <n v="136552.38"/>
    <x v="0"/>
    <d v="2024-05-13T00:00:00"/>
  </r>
  <r>
    <s v="L00547"/>
    <s v="C10548"/>
    <x v="1"/>
    <n v="35"/>
    <s v="Single"/>
    <s v="Non Graduate"/>
    <x v="0"/>
    <n v="1456266"/>
    <n v="765"/>
    <n v="1700536"/>
    <n v="12"/>
    <n v="11.21"/>
    <x v="1"/>
    <x v="1"/>
    <x v="0"/>
    <n v="157597.17000000001"/>
    <n v="1551146.24"/>
    <x v="0"/>
    <d v="2024-07-02T00:00:00"/>
  </r>
  <r>
    <s v="L00548"/>
    <s v="C10549"/>
    <x v="1"/>
    <n v="29"/>
    <s v="Married"/>
    <s v="Non Graduate"/>
    <x v="0"/>
    <n v="1147531"/>
    <n v="609"/>
    <n v="1811204"/>
    <n v="240"/>
    <n v="10.72"/>
    <x v="3"/>
    <x v="5"/>
    <x v="0"/>
    <n v="8355.69"/>
    <n v="1302493.1599999999"/>
    <x v="0"/>
    <d v="2024-04-24T00:00:00"/>
  </r>
  <r>
    <s v="L00549"/>
    <s v="C10550"/>
    <x v="1"/>
    <n v="44"/>
    <s v="Married"/>
    <s v="Non Graduate"/>
    <x v="1"/>
    <n v="1084170"/>
    <n v="651"/>
    <n v="1843984"/>
    <n v="84"/>
    <n v="8.2200000000000006"/>
    <x v="2"/>
    <x v="1"/>
    <x v="0"/>
    <n v="23756.66"/>
    <n v="1190745.6299999999"/>
    <x v="0"/>
    <d v="2024-03-01T00:00:00"/>
  </r>
  <r>
    <s v="L00550"/>
    <s v="C10551"/>
    <x v="0"/>
    <n v="39"/>
    <s v="Married"/>
    <s v="Graduate"/>
    <x v="1"/>
    <n v="1408786"/>
    <n v="606"/>
    <n v="1188640"/>
    <n v="120"/>
    <n v="9.52"/>
    <x v="1"/>
    <x v="4"/>
    <x v="0"/>
    <n v="10848.32"/>
    <n v="929991.08"/>
    <x v="1"/>
    <d v="2025-03-13T00:00:00"/>
  </r>
  <r>
    <s v="L00551"/>
    <s v="C10552"/>
    <x v="1"/>
    <n v="35"/>
    <s v="Single"/>
    <s v="Non Graduate"/>
    <x v="1"/>
    <n v="1164875"/>
    <n v="808"/>
    <n v="1345061"/>
    <n v="180"/>
    <n v="11.81"/>
    <x v="0"/>
    <x v="5"/>
    <x v="0"/>
    <n v="8355.07"/>
    <n v="983213.1"/>
    <x v="0"/>
    <d v="2025-03-16T00:00:00"/>
  </r>
  <r>
    <s v="L00552"/>
    <s v="C10553"/>
    <x v="0"/>
    <n v="50"/>
    <s v="Single"/>
    <s v="Non Graduate"/>
    <x v="0"/>
    <n v="1835597"/>
    <n v="608"/>
    <n v="1400876"/>
    <n v="60"/>
    <n v="8.6999999999999993"/>
    <x v="0"/>
    <x v="1"/>
    <x v="1"/>
    <n v="25379.200000000001"/>
    <n v="270361.88"/>
    <x v="0"/>
    <d v="2024-11-03T00:00:00"/>
  </r>
  <r>
    <s v="L00553"/>
    <s v="C10554"/>
    <x v="0"/>
    <n v="49"/>
    <s v="Married"/>
    <s v="Graduate"/>
    <x v="1"/>
    <n v="1396589"/>
    <n v="784"/>
    <n v="710267"/>
    <n v="120"/>
    <n v="8.02"/>
    <x v="1"/>
    <x v="0"/>
    <x v="0"/>
    <n v="6393.59"/>
    <n v="209809.88"/>
    <x v="0"/>
    <d v="2024-07-23T00:00:00"/>
  </r>
  <r>
    <s v="L00554"/>
    <s v="C10555"/>
    <x v="0"/>
    <n v="55"/>
    <s v="Married"/>
    <s v="Graduate"/>
    <x v="1"/>
    <n v="1800414"/>
    <n v="607"/>
    <n v="1033736"/>
    <n v="24"/>
    <n v="9.89"/>
    <x v="4"/>
    <x v="5"/>
    <x v="1"/>
    <n v="47332.19"/>
    <n v="455935.32"/>
    <x v="0"/>
    <d v="2024-01-14T00:00:00"/>
  </r>
  <r>
    <s v="L00555"/>
    <s v="C10556"/>
    <x v="0"/>
    <n v="37"/>
    <s v="Single"/>
    <s v="Non Graduate"/>
    <x v="1"/>
    <n v="277542"/>
    <n v="666"/>
    <n v="213952"/>
    <n v="120"/>
    <n v="7.9"/>
    <x v="3"/>
    <x v="5"/>
    <x v="0"/>
    <n v="1923.79"/>
    <n v="44300.11"/>
    <x v="0"/>
    <d v="2025-10-29T00:00:00"/>
  </r>
  <r>
    <s v="L00556"/>
    <s v="C10557"/>
    <x v="1"/>
    <n v="26"/>
    <s v="Married"/>
    <s v="Graduate"/>
    <x v="1"/>
    <n v="679496"/>
    <n v="577"/>
    <n v="1817900"/>
    <n v="24"/>
    <n v="12.27"/>
    <x v="1"/>
    <x v="0"/>
    <x v="0"/>
    <n v="85039.85"/>
    <n v="1104574.6100000001"/>
    <x v="0"/>
    <d v="2024-03-07T00:00:00"/>
  </r>
  <r>
    <s v="L00557"/>
    <s v="C10558"/>
    <x v="1"/>
    <n v="39"/>
    <s v="Single"/>
    <s v="Non Graduate"/>
    <x v="1"/>
    <n v="366378"/>
    <n v="664"/>
    <n v="1040909"/>
    <n v="48"/>
    <n v="15.1"/>
    <x v="0"/>
    <x v="0"/>
    <x v="1"/>
    <n v="24960.13"/>
    <n v="564636.49"/>
    <x v="0"/>
    <d v="2024-02-16T00:00:00"/>
  </r>
  <r>
    <s v="L00558"/>
    <s v="C10559"/>
    <x v="0"/>
    <n v="21"/>
    <s v="Married"/>
    <s v="Graduate"/>
    <x v="1"/>
    <n v="1464868"/>
    <n v="734"/>
    <n v="1675175"/>
    <n v="120"/>
    <n v="13.6"/>
    <x v="1"/>
    <x v="2"/>
    <x v="0"/>
    <n v="15858.32"/>
    <n v="1518437.24"/>
    <x v="0"/>
    <d v="2025-04-15T00:00:00"/>
  </r>
  <r>
    <s v="L00559"/>
    <s v="C10560"/>
    <x v="1"/>
    <n v="53"/>
    <s v="Married"/>
    <s v="Graduate"/>
    <x v="1"/>
    <n v="1890005"/>
    <n v="805"/>
    <n v="631427"/>
    <n v="36"/>
    <n v="12.35"/>
    <x v="4"/>
    <x v="3"/>
    <x v="0"/>
    <n v="19705.78"/>
    <n v="328996.01"/>
    <x v="0"/>
    <d v="2025-05-13T00:00:00"/>
  </r>
  <r>
    <s v="L00560"/>
    <s v="C10561"/>
    <x v="1"/>
    <n v="59"/>
    <s v="Single"/>
    <s v="Graduate"/>
    <x v="0"/>
    <n v="1417476"/>
    <n v="550"/>
    <n v="196364"/>
    <n v="180"/>
    <n v="8.8800000000000008"/>
    <x v="4"/>
    <x v="4"/>
    <x v="0"/>
    <n v="1187.78"/>
    <n v="132548.21"/>
    <x v="1"/>
    <d v="2024-03-30T00:00:00"/>
  </r>
  <r>
    <s v="L00561"/>
    <s v="C10562"/>
    <x v="1"/>
    <n v="40"/>
    <s v="Single"/>
    <s v="Graduate"/>
    <x v="1"/>
    <n v="1568319"/>
    <n v="814"/>
    <n v="1705708"/>
    <n v="180"/>
    <n v="14.41"/>
    <x v="0"/>
    <x v="0"/>
    <x v="0"/>
    <n v="10841.67"/>
    <n v="761202.98"/>
    <x v="0"/>
    <d v="2024-08-01T00:00:00"/>
  </r>
  <r>
    <s v="L00562"/>
    <s v="C10563"/>
    <x v="1"/>
    <n v="60"/>
    <s v="Single"/>
    <s v="Non Graduate"/>
    <x v="0"/>
    <n v="1151779"/>
    <n v="619"/>
    <n v="1555488"/>
    <n v="48"/>
    <n v="13.28"/>
    <x v="3"/>
    <x v="3"/>
    <x v="1"/>
    <n v="36709.519999999997"/>
    <n v="593769.47"/>
    <x v="0"/>
    <d v="2025-06-22T00:00:00"/>
  </r>
  <r>
    <s v="L00563"/>
    <s v="C10564"/>
    <x v="0"/>
    <n v="35"/>
    <s v="Single"/>
    <s v="Non Graduate"/>
    <x v="1"/>
    <n v="468948"/>
    <n v="849"/>
    <n v="1917026"/>
    <n v="120"/>
    <n v="11.62"/>
    <x v="2"/>
    <x v="2"/>
    <x v="0"/>
    <n v="17831.54"/>
    <n v="263041.51"/>
    <x v="0"/>
    <d v="2024-08-16T00:00:00"/>
  </r>
  <r>
    <s v="L00564"/>
    <s v="C10565"/>
    <x v="1"/>
    <n v="40"/>
    <s v="Married"/>
    <s v="Graduate"/>
    <x v="1"/>
    <n v="317246"/>
    <n v="669"/>
    <n v="315343"/>
    <n v="24"/>
    <n v="8.41"/>
    <x v="4"/>
    <x v="3"/>
    <x v="0"/>
    <n v="14244.31"/>
    <n v="168677.69"/>
    <x v="0"/>
    <d v="2025-10-06T00:00:00"/>
  </r>
  <r>
    <s v="L00565"/>
    <s v="C10566"/>
    <x v="1"/>
    <n v="42"/>
    <s v="Single"/>
    <s v="Graduate"/>
    <x v="0"/>
    <n v="690586"/>
    <n v="660"/>
    <n v="262828"/>
    <n v="120"/>
    <n v="8.99"/>
    <x v="4"/>
    <x v="3"/>
    <x v="0"/>
    <n v="2387.14"/>
    <n v="162501.69"/>
    <x v="0"/>
    <d v="2025-11-26T00:00:00"/>
  </r>
  <r>
    <s v="L00566"/>
    <s v="C10567"/>
    <x v="0"/>
    <n v="26"/>
    <s v="Single"/>
    <s v="Graduate"/>
    <x v="0"/>
    <n v="1492798"/>
    <n v="577"/>
    <n v="758790"/>
    <n v="24"/>
    <n v="10.17"/>
    <x v="0"/>
    <x v="1"/>
    <x v="1"/>
    <n v="34831.620000000003"/>
    <n v="692976.13"/>
    <x v="0"/>
    <d v="2024-12-15T00:00:00"/>
  </r>
  <r>
    <s v="L00567"/>
    <s v="C10568"/>
    <x v="1"/>
    <n v="43"/>
    <s v="Single"/>
    <s v="Non Graduate"/>
    <x v="1"/>
    <n v="1884391"/>
    <n v="784"/>
    <n v="1830051"/>
    <n v="240"/>
    <n v="8.19"/>
    <x v="1"/>
    <x v="4"/>
    <x v="0"/>
    <n v="8249.7199999999993"/>
    <n v="1446102.73"/>
    <x v="0"/>
    <d v="2024-01-07T00:00:00"/>
  </r>
  <r>
    <s v="L00568"/>
    <s v="C10569"/>
    <x v="1"/>
    <n v="48"/>
    <s v="Single"/>
    <s v="Non Graduate"/>
    <x v="1"/>
    <n v="996997"/>
    <n v="688"/>
    <n v="857523"/>
    <n v="24"/>
    <n v="13.79"/>
    <x v="2"/>
    <x v="5"/>
    <x v="0"/>
    <n v="40657.31"/>
    <n v="208926.55"/>
    <x v="0"/>
    <d v="2024-01-22T00:00:00"/>
  </r>
  <r>
    <s v="L00569"/>
    <s v="C10570"/>
    <x v="1"/>
    <n v="58"/>
    <s v="Married"/>
    <s v="Graduate"/>
    <x v="1"/>
    <n v="553827"/>
    <n v="693"/>
    <n v="449464"/>
    <n v="12"/>
    <n v="15.44"/>
    <x v="2"/>
    <x v="2"/>
    <x v="0"/>
    <n v="43238.44"/>
    <n v="57997.760000000002"/>
    <x v="0"/>
    <d v="2024-01-07T00:00:00"/>
  </r>
  <r>
    <s v="L00570"/>
    <s v="C10571"/>
    <x v="0"/>
    <n v="48"/>
    <s v="Single"/>
    <s v="Graduate"/>
    <x v="1"/>
    <n v="265719"/>
    <n v="823"/>
    <n v="855667"/>
    <n v="60"/>
    <n v="9.35"/>
    <x v="2"/>
    <x v="0"/>
    <x v="1"/>
    <n v="15594.53"/>
    <n v="845829.12"/>
    <x v="0"/>
    <d v="2024-02-20T00:00:00"/>
  </r>
  <r>
    <s v="L00571"/>
    <s v="C10572"/>
    <x v="1"/>
    <n v="57"/>
    <s v="Single"/>
    <s v="Graduate"/>
    <x v="0"/>
    <n v="839642"/>
    <n v="562"/>
    <n v="916863"/>
    <n v="48"/>
    <n v="13.76"/>
    <x v="3"/>
    <x v="5"/>
    <x v="0"/>
    <n v="21729.65"/>
    <n v="800814.36"/>
    <x v="0"/>
    <d v="2024-08-19T00:00:00"/>
  </r>
  <r>
    <s v="L00572"/>
    <s v="C10573"/>
    <x v="1"/>
    <n v="28"/>
    <s v="Married"/>
    <s v="Graduate"/>
    <x v="0"/>
    <n v="655703"/>
    <n v="768"/>
    <n v="1260297"/>
    <n v="48"/>
    <n v="10.62"/>
    <x v="0"/>
    <x v="0"/>
    <x v="0"/>
    <n v="29044.59"/>
    <n v="397141.72"/>
    <x v="0"/>
    <d v="2024-12-13T00:00:00"/>
  </r>
  <r>
    <s v="L00573"/>
    <s v="C10574"/>
    <x v="1"/>
    <n v="23"/>
    <s v="Single"/>
    <s v="Graduate"/>
    <x v="0"/>
    <n v="765940"/>
    <n v="691"/>
    <n v="300585"/>
    <n v="36"/>
    <n v="13.73"/>
    <x v="2"/>
    <x v="3"/>
    <x v="0"/>
    <n v="9495.98"/>
    <n v="271424.58"/>
    <x v="0"/>
    <d v="2024-06-04T00:00:00"/>
  </r>
  <r>
    <s v="L00574"/>
    <s v="C10575"/>
    <x v="0"/>
    <n v="50"/>
    <s v="Married"/>
    <s v="Graduate"/>
    <x v="0"/>
    <n v="1640005"/>
    <n v="564"/>
    <n v="210324"/>
    <n v="120"/>
    <n v="9.99"/>
    <x v="4"/>
    <x v="0"/>
    <x v="1"/>
    <n v="1927.79"/>
    <n v="186466.78"/>
    <x v="0"/>
    <d v="2025-08-03T00:00:00"/>
  </r>
  <r>
    <s v="L00575"/>
    <s v="C10576"/>
    <x v="0"/>
    <n v="30"/>
    <s v="Married"/>
    <s v="Non Graduate"/>
    <x v="1"/>
    <n v="677157"/>
    <n v="807"/>
    <n v="1806004"/>
    <n v="12"/>
    <n v="9.98"/>
    <x v="3"/>
    <x v="1"/>
    <x v="0"/>
    <n v="165520.26999999999"/>
    <n v="667402.69999999995"/>
    <x v="0"/>
    <d v="2025-07-12T00:00:00"/>
  </r>
  <r>
    <s v="L00576"/>
    <s v="C10577"/>
    <x v="0"/>
    <n v="54"/>
    <s v="Married"/>
    <s v="Non Graduate"/>
    <x v="1"/>
    <n v="1914698"/>
    <n v="663"/>
    <n v="437604"/>
    <n v="48"/>
    <n v="15.05"/>
    <x v="1"/>
    <x v="5"/>
    <x v="0"/>
    <n v="10488.82"/>
    <n v="407922.39"/>
    <x v="0"/>
    <d v="2025-08-27T00:00:00"/>
  </r>
  <r>
    <s v="L00577"/>
    <s v="C10578"/>
    <x v="1"/>
    <n v="52"/>
    <s v="Single"/>
    <s v="Non Graduate"/>
    <x v="1"/>
    <n v="894006"/>
    <n v="816"/>
    <n v="1550310"/>
    <n v="60"/>
    <n v="15.39"/>
    <x v="2"/>
    <x v="1"/>
    <x v="0"/>
    <n v="29815.05"/>
    <n v="433250.86"/>
    <x v="0"/>
    <d v="2025-03-26T00:00:00"/>
  </r>
  <r>
    <s v="L00578"/>
    <s v="C10579"/>
    <x v="1"/>
    <n v="24"/>
    <s v="Married"/>
    <s v="Graduate"/>
    <x v="0"/>
    <n v="329596"/>
    <n v="677"/>
    <n v="1823367"/>
    <n v="24"/>
    <n v="13.97"/>
    <x v="1"/>
    <x v="1"/>
    <x v="0"/>
    <n v="86587.14"/>
    <n v="1674581.12"/>
    <x v="0"/>
    <d v="2024-10-17T00:00:00"/>
  </r>
  <r>
    <s v="L00579"/>
    <s v="C10580"/>
    <x v="0"/>
    <n v="34"/>
    <s v="Single"/>
    <s v="Non Graduate"/>
    <x v="1"/>
    <n v="1918732"/>
    <n v="727"/>
    <n v="1064489"/>
    <n v="12"/>
    <n v="11.43"/>
    <x v="3"/>
    <x v="1"/>
    <x v="0"/>
    <n v="98846.67"/>
    <n v="476879.9"/>
    <x v="0"/>
    <d v="2025-03-02T00:00:00"/>
  </r>
  <r>
    <s v="L00580"/>
    <s v="C10581"/>
    <x v="0"/>
    <n v="30"/>
    <s v="Single"/>
    <s v="Graduate"/>
    <x v="0"/>
    <n v="1368087"/>
    <n v="606"/>
    <n v="808678"/>
    <n v="84"/>
    <n v="14.04"/>
    <x v="4"/>
    <x v="3"/>
    <x v="0"/>
    <n v="10978.77"/>
    <n v="243492.85"/>
    <x v="1"/>
    <d v="2025-10-04T00:00:00"/>
  </r>
  <r>
    <s v="L00581"/>
    <s v="C10582"/>
    <x v="1"/>
    <n v="40"/>
    <s v="Married"/>
    <s v="Non Graduate"/>
    <x v="1"/>
    <n v="1250525"/>
    <n v="711"/>
    <n v="736800"/>
    <n v="12"/>
    <n v="14.31"/>
    <x v="2"/>
    <x v="3"/>
    <x v="0"/>
    <n v="70186.34"/>
    <n v="208126.11"/>
    <x v="0"/>
    <d v="2024-08-26T00:00:00"/>
  </r>
  <r>
    <s v="L00582"/>
    <s v="C10583"/>
    <x v="0"/>
    <n v="24"/>
    <s v="Married"/>
    <s v="Non Graduate"/>
    <x v="0"/>
    <n v="1723476"/>
    <n v="820"/>
    <n v="1877495"/>
    <n v="180"/>
    <n v="13.31"/>
    <x v="0"/>
    <x v="0"/>
    <x v="0"/>
    <n v="11818.83"/>
    <n v="212510.68"/>
    <x v="0"/>
    <d v="2024-05-22T00:00:00"/>
  </r>
  <r>
    <s v="L00583"/>
    <s v="C10584"/>
    <x v="0"/>
    <n v="59"/>
    <s v="Married"/>
    <s v="Graduate"/>
    <x v="1"/>
    <n v="1668204"/>
    <n v="786"/>
    <n v="272246"/>
    <n v="180"/>
    <n v="8.2799999999999994"/>
    <x v="4"/>
    <x v="3"/>
    <x v="0"/>
    <n v="1637.71"/>
    <n v="270207.78000000003"/>
    <x v="0"/>
    <d v="2025-05-12T00:00:00"/>
  </r>
  <r>
    <s v="L00584"/>
    <s v="C10585"/>
    <x v="0"/>
    <n v="57"/>
    <s v="Married"/>
    <s v="Graduate"/>
    <x v="1"/>
    <n v="1886640"/>
    <n v="608"/>
    <n v="310590"/>
    <n v="180"/>
    <n v="12.83"/>
    <x v="0"/>
    <x v="4"/>
    <x v="0"/>
    <n v="1946.88"/>
    <n v="282342.45"/>
    <x v="1"/>
    <d v="2024-03-10T00:00:00"/>
  </r>
  <r>
    <s v="L00585"/>
    <s v="C10586"/>
    <x v="0"/>
    <n v="29"/>
    <s v="Married"/>
    <s v="Non Graduate"/>
    <x v="0"/>
    <n v="517811"/>
    <n v="559"/>
    <n v="844743"/>
    <n v="36"/>
    <n v="12.33"/>
    <x v="4"/>
    <x v="2"/>
    <x v="0"/>
    <n v="26358.33"/>
    <n v="387547.81"/>
    <x v="1"/>
    <d v="2024-06-19T00:00:00"/>
  </r>
  <r>
    <s v="L00586"/>
    <s v="C10587"/>
    <x v="1"/>
    <n v="34"/>
    <s v="Married"/>
    <s v="Graduate"/>
    <x v="0"/>
    <n v="1711775"/>
    <n v="727"/>
    <n v="672623"/>
    <n v="48"/>
    <n v="13.03"/>
    <x v="1"/>
    <x v="5"/>
    <x v="0"/>
    <n v="15838.87"/>
    <n v="379772.2"/>
    <x v="0"/>
    <d v="2024-01-05T00:00:00"/>
  </r>
  <r>
    <s v="L00587"/>
    <s v="C10588"/>
    <x v="1"/>
    <n v="57"/>
    <s v="Married"/>
    <s v="Graduate"/>
    <x v="1"/>
    <n v="806208"/>
    <n v="713"/>
    <n v="1913634"/>
    <n v="48"/>
    <n v="8.0299999999999994"/>
    <x v="0"/>
    <x v="5"/>
    <x v="0"/>
    <n v="43068.73"/>
    <n v="202500.67"/>
    <x v="0"/>
    <d v="2024-09-03T00:00:00"/>
  </r>
  <r>
    <s v="L00588"/>
    <s v="C10589"/>
    <x v="1"/>
    <n v="60"/>
    <s v="Single"/>
    <s v="Graduate"/>
    <x v="1"/>
    <n v="1410172"/>
    <n v="789"/>
    <n v="1448051"/>
    <n v="180"/>
    <n v="13.96"/>
    <x v="4"/>
    <x v="1"/>
    <x v="0"/>
    <n v="9167.77"/>
    <n v="672254.71"/>
    <x v="0"/>
    <d v="2025-10-25T00:00:00"/>
  </r>
  <r>
    <s v="L00589"/>
    <s v="C10590"/>
    <x v="0"/>
    <n v="32"/>
    <s v="Married"/>
    <s v="Non Graduate"/>
    <x v="1"/>
    <n v="1927331"/>
    <n v="827"/>
    <n v="1694281"/>
    <n v="12"/>
    <n v="13.97"/>
    <x v="3"/>
    <x v="0"/>
    <x v="0"/>
    <n v="160914.34"/>
    <n v="284426.52"/>
    <x v="0"/>
    <d v="2024-06-13T00:00:00"/>
  </r>
  <r>
    <s v="L00590"/>
    <s v="C10591"/>
    <x v="1"/>
    <n v="31"/>
    <s v="Married"/>
    <s v="Graduate"/>
    <x v="1"/>
    <n v="297489"/>
    <n v="706"/>
    <n v="215198"/>
    <n v="84"/>
    <n v="11.97"/>
    <x v="4"/>
    <x v="0"/>
    <x v="1"/>
    <n v="2868.54"/>
    <n v="142300.28"/>
    <x v="0"/>
    <d v="2024-03-10T00:00:00"/>
  </r>
  <r>
    <s v="L00591"/>
    <s v="C10592"/>
    <x v="1"/>
    <n v="24"/>
    <s v="Single"/>
    <s v="Non Graduate"/>
    <x v="0"/>
    <n v="1259142"/>
    <n v="725"/>
    <n v="844098"/>
    <n v="84"/>
    <n v="12.8"/>
    <x v="2"/>
    <x v="1"/>
    <x v="0"/>
    <n v="11335.03"/>
    <n v="297555.59999999998"/>
    <x v="0"/>
    <d v="2025-08-28T00:00:00"/>
  </r>
  <r>
    <s v="L00592"/>
    <s v="C10593"/>
    <x v="1"/>
    <n v="30"/>
    <s v="Married"/>
    <s v="Graduate"/>
    <x v="1"/>
    <n v="869796"/>
    <n v="626"/>
    <n v="1459559"/>
    <n v="24"/>
    <n v="10.07"/>
    <x v="2"/>
    <x v="4"/>
    <x v="0"/>
    <n v="66939.02"/>
    <n v="822146.96"/>
    <x v="0"/>
    <d v="2025-10-06T00:00:00"/>
  </r>
  <r>
    <s v="L00593"/>
    <s v="C10594"/>
    <x v="1"/>
    <n v="54"/>
    <s v="Married"/>
    <s v="Graduate"/>
    <x v="1"/>
    <n v="407998"/>
    <n v="652"/>
    <n v="1814197"/>
    <n v="24"/>
    <n v="7.91"/>
    <x v="4"/>
    <x v="1"/>
    <x v="0"/>
    <n v="81570.83"/>
    <n v="1275868.2"/>
    <x v="0"/>
    <d v="2024-04-02T00:00:00"/>
  </r>
  <r>
    <s v="L00594"/>
    <s v="C10595"/>
    <x v="0"/>
    <n v="35"/>
    <s v="Married"/>
    <s v="Non Graduate"/>
    <x v="1"/>
    <n v="1194831"/>
    <n v="820"/>
    <n v="1445252"/>
    <n v="36"/>
    <n v="13.7"/>
    <x v="4"/>
    <x v="3"/>
    <x v="0"/>
    <n v="45645.88"/>
    <n v="937018.72"/>
    <x v="0"/>
    <d v="2025-06-15T00:00:00"/>
  </r>
  <r>
    <s v="L00595"/>
    <s v="C10596"/>
    <x v="1"/>
    <n v="57"/>
    <s v="Single"/>
    <s v="Non Graduate"/>
    <x v="0"/>
    <n v="623384"/>
    <n v="607"/>
    <n v="1857766"/>
    <n v="120"/>
    <n v="14.31"/>
    <x v="3"/>
    <x v="2"/>
    <x v="0"/>
    <n v="17696.77"/>
    <n v="1742919.78"/>
    <x v="0"/>
    <d v="2024-03-11T00:00:00"/>
  </r>
  <r>
    <s v="L00596"/>
    <s v="C10597"/>
    <x v="0"/>
    <n v="22"/>
    <s v="Married"/>
    <s v="Graduate"/>
    <x v="0"/>
    <n v="1353144"/>
    <n v="611"/>
    <n v="957414"/>
    <n v="36"/>
    <n v="10.65"/>
    <x v="1"/>
    <x v="0"/>
    <x v="1"/>
    <n v="29427.18"/>
    <n v="803136.73"/>
    <x v="0"/>
    <d v="2025-06-11T00:00:00"/>
  </r>
  <r>
    <s v="L00597"/>
    <s v="C10598"/>
    <x v="0"/>
    <n v="59"/>
    <s v="Married"/>
    <s v="Non Graduate"/>
    <x v="0"/>
    <n v="1472739"/>
    <n v="625"/>
    <n v="321053"/>
    <n v="180"/>
    <n v="12.6"/>
    <x v="3"/>
    <x v="4"/>
    <x v="0"/>
    <n v="2008.36"/>
    <n v="213996.12"/>
    <x v="0"/>
    <d v="2024-10-13T00:00:00"/>
  </r>
  <r>
    <s v="L00598"/>
    <s v="C10599"/>
    <x v="1"/>
    <n v="54"/>
    <s v="Single"/>
    <s v="Graduate"/>
    <x v="0"/>
    <n v="1839788"/>
    <n v="848"/>
    <n v="1113479"/>
    <n v="180"/>
    <n v="11.86"/>
    <x v="2"/>
    <x v="1"/>
    <x v="0"/>
    <n v="6919.65"/>
    <n v="473166.95"/>
    <x v="0"/>
    <d v="2025-04-02T00:00:00"/>
  </r>
  <r>
    <s v="L00599"/>
    <s v="C10600"/>
    <x v="1"/>
    <n v="42"/>
    <s v="Married"/>
    <s v="Non Graduate"/>
    <x v="0"/>
    <n v="1979114"/>
    <n v="589"/>
    <n v="1354163"/>
    <n v="180"/>
    <n v="8.17"/>
    <x v="3"/>
    <x v="2"/>
    <x v="0"/>
    <n v="8137.77"/>
    <n v="947272.91"/>
    <x v="0"/>
    <d v="2025-12-24T00:00:00"/>
  </r>
  <r>
    <s v="L00600"/>
    <s v="C10601"/>
    <x v="0"/>
    <n v="58"/>
    <s v="Single"/>
    <s v="Non Graduate"/>
    <x v="0"/>
    <n v="709019"/>
    <n v="720"/>
    <n v="141124"/>
    <n v="84"/>
    <n v="10.09"/>
    <x v="0"/>
    <x v="1"/>
    <x v="0"/>
    <n v="1849.56"/>
    <n v="49916.97"/>
    <x v="0"/>
    <d v="2025-11-23T00:00:00"/>
  </r>
  <r>
    <s v="L00601"/>
    <s v="C10602"/>
    <x v="1"/>
    <n v="48"/>
    <s v="Single"/>
    <s v="Graduate"/>
    <x v="1"/>
    <n v="1880571"/>
    <n v="625"/>
    <n v="1689404"/>
    <n v="12"/>
    <n v="11.79"/>
    <x v="1"/>
    <x v="3"/>
    <x v="0"/>
    <n v="157382.06"/>
    <n v="244173.39"/>
    <x v="0"/>
    <d v="2025-04-28T00:00:00"/>
  </r>
  <r>
    <s v="L00602"/>
    <s v="C10603"/>
    <x v="0"/>
    <n v="34"/>
    <s v="Married"/>
    <s v="Graduate"/>
    <x v="1"/>
    <n v="1785546"/>
    <n v="717"/>
    <n v="1521315"/>
    <n v="240"/>
    <n v="8.94"/>
    <x v="3"/>
    <x v="0"/>
    <x v="0"/>
    <n v="6905.5"/>
    <n v="932351.47"/>
    <x v="0"/>
    <d v="2025-08-07T00:00:00"/>
  </r>
  <r>
    <s v="L00603"/>
    <s v="C10604"/>
    <x v="1"/>
    <n v="40"/>
    <s v="Single"/>
    <s v="Non Graduate"/>
    <x v="0"/>
    <n v="1792225"/>
    <n v="807"/>
    <n v="703140"/>
    <n v="36"/>
    <n v="9.25"/>
    <x v="1"/>
    <x v="4"/>
    <x v="0"/>
    <n v="21338.35"/>
    <n v="539850.44999999995"/>
    <x v="0"/>
    <d v="2024-09-22T00:00:00"/>
  </r>
  <r>
    <s v="L00604"/>
    <s v="C10605"/>
    <x v="0"/>
    <n v="51"/>
    <s v="Married"/>
    <s v="Graduate"/>
    <x v="0"/>
    <n v="310917"/>
    <n v="816"/>
    <n v="1883668"/>
    <n v="24"/>
    <n v="13.32"/>
    <x v="2"/>
    <x v="0"/>
    <x v="0"/>
    <n v="88940.52"/>
    <n v="1676753.3"/>
    <x v="0"/>
    <d v="2024-02-20T00:00:00"/>
  </r>
  <r>
    <s v="L00605"/>
    <s v="C10606"/>
    <x v="1"/>
    <n v="42"/>
    <s v="Single"/>
    <s v="Graduate"/>
    <x v="1"/>
    <n v="318412"/>
    <n v="811"/>
    <n v="622138"/>
    <n v="180"/>
    <n v="11.44"/>
    <x v="4"/>
    <x v="5"/>
    <x v="1"/>
    <n v="3851.73"/>
    <n v="501631.52"/>
    <x v="0"/>
    <d v="2025-09-02T00:00:00"/>
  </r>
  <r>
    <s v="L00606"/>
    <s v="C10607"/>
    <x v="1"/>
    <n v="30"/>
    <s v="Married"/>
    <s v="Graduate"/>
    <x v="0"/>
    <n v="1691240"/>
    <n v="678"/>
    <n v="467563"/>
    <n v="60"/>
    <n v="12.13"/>
    <x v="1"/>
    <x v="4"/>
    <x v="0"/>
    <n v="8737.9699999999993"/>
    <n v="398344.6"/>
    <x v="0"/>
    <d v="2024-08-19T00:00:00"/>
  </r>
  <r>
    <s v="L00607"/>
    <s v="C10608"/>
    <x v="0"/>
    <n v="40"/>
    <s v="Single"/>
    <s v="Graduate"/>
    <x v="1"/>
    <n v="642436"/>
    <n v="841"/>
    <n v="1920257"/>
    <n v="12"/>
    <n v="13.83"/>
    <x v="0"/>
    <x v="2"/>
    <x v="0"/>
    <n v="182152.38"/>
    <n v="1489469.79"/>
    <x v="0"/>
    <d v="2025-03-20T00:00:00"/>
  </r>
  <r>
    <s v="L00608"/>
    <s v="C10609"/>
    <x v="0"/>
    <n v="49"/>
    <s v="Single"/>
    <s v="Non Graduate"/>
    <x v="1"/>
    <n v="1548357"/>
    <n v="635"/>
    <n v="696033"/>
    <n v="180"/>
    <n v="10.53"/>
    <x v="3"/>
    <x v="4"/>
    <x v="1"/>
    <n v="4274.03"/>
    <n v="513308.62"/>
    <x v="0"/>
    <d v="2025-02-13T00:00:00"/>
  </r>
  <r>
    <s v="L00609"/>
    <s v="C10610"/>
    <x v="1"/>
    <n v="39"/>
    <s v="Single"/>
    <s v="Non Graduate"/>
    <x v="0"/>
    <n v="1882228"/>
    <n v="749"/>
    <n v="251645"/>
    <n v="240"/>
    <n v="13.28"/>
    <x v="4"/>
    <x v="3"/>
    <x v="0"/>
    <n v="1187.76"/>
    <n v="62707.14"/>
    <x v="0"/>
    <d v="2024-04-02T00:00:00"/>
  </r>
  <r>
    <s v="L00610"/>
    <s v="C10611"/>
    <x v="1"/>
    <n v="26"/>
    <s v="Married"/>
    <s v="Graduate"/>
    <x v="0"/>
    <n v="1372943"/>
    <n v="717"/>
    <n v="450230"/>
    <n v="120"/>
    <n v="9.4700000000000006"/>
    <x v="1"/>
    <x v="3"/>
    <x v="0"/>
    <n v="4107.22"/>
    <n v="317047.15999999997"/>
    <x v="0"/>
    <d v="2025-08-22T00:00:00"/>
  </r>
  <r>
    <s v="L00611"/>
    <s v="C10612"/>
    <x v="1"/>
    <n v="46"/>
    <s v="Married"/>
    <s v="Non Graduate"/>
    <x v="0"/>
    <n v="297914"/>
    <n v="619"/>
    <n v="1700742"/>
    <n v="84"/>
    <n v="13.27"/>
    <x v="0"/>
    <x v="2"/>
    <x v="0"/>
    <n v="22933.7"/>
    <n v="1307471.57"/>
    <x v="0"/>
    <d v="2024-08-30T00:00:00"/>
  </r>
  <r>
    <s v="L00612"/>
    <s v="C10613"/>
    <x v="0"/>
    <n v="54"/>
    <s v="Married"/>
    <s v="Graduate"/>
    <x v="1"/>
    <n v="1642057"/>
    <n v="679"/>
    <n v="1646468"/>
    <n v="180"/>
    <n v="12.76"/>
    <x v="4"/>
    <x v="4"/>
    <x v="0"/>
    <n v="10314.209999999999"/>
    <n v="1358720.34"/>
    <x v="0"/>
    <d v="2025-04-19T00:00:00"/>
  </r>
  <r>
    <s v="L00613"/>
    <s v="C10614"/>
    <x v="1"/>
    <n v="48"/>
    <s v="Single"/>
    <s v="Graduate"/>
    <x v="0"/>
    <n v="1142617"/>
    <n v="830"/>
    <n v="1899852"/>
    <n v="120"/>
    <n v="15.13"/>
    <x v="3"/>
    <x v="2"/>
    <x v="0"/>
    <n v="18227.5"/>
    <n v="552127.24"/>
    <x v="0"/>
    <d v="2025-03-07T00:00:00"/>
  </r>
  <r>
    <s v="L00614"/>
    <s v="C10615"/>
    <x v="0"/>
    <n v="33"/>
    <s v="Married"/>
    <s v="Graduate"/>
    <x v="1"/>
    <n v="1592275"/>
    <n v="794"/>
    <n v="538020"/>
    <n v="180"/>
    <n v="14.78"/>
    <x v="1"/>
    <x v="3"/>
    <x v="0"/>
    <n v="3430.77"/>
    <n v="488745.17"/>
    <x v="0"/>
    <d v="2025-11-12T00:00:00"/>
  </r>
  <r>
    <s v="L00615"/>
    <s v="C10616"/>
    <x v="0"/>
    <n v="22"/>
    <s v="Single"/>
    <s v="Non Graduate"/>
    <x v="1"/>
    <n v="1876516"/>
    <n v="732"/>
    <n v="1401969"/>
    <n v="36"/>
    <n v="15.08"/>
    <x v="1"/>
    <x v="5"/>
    <x v="0"/>
    <n v="44816.28"/>
    <n v="285410.18"/>
    <x v="0"/>
    <d v="2024-04-07T00:00:00"/>
  </r>
  <r>
    <s v="L00616"/>
    <s v="C10617"/>
    <x v="0"/>
    <n v="43"/>
    <s v="Married"/>
    <s v="Graduate"/>
    <x v="1"/>
    <n v="457800"/>
    <n v="839"/>
    <n v="733076"/>
    <n v="12"/>
    <n v="13.19"/>
    <x v="4"/>
    <x v="3"/>
    <x v="0"/>
    <n v="69147.39"/>
    <n v="204679.56"/>
    <x v="0"/>
    <d v="2024-04-20T00:00:00"/>
  </r>
  <r>
    <s v="L00617"/>
    <s v="C10618"/>
    <x v="0"/>
    <n v="26"/>
    <s v="Married"/>
    <s v="Non Graduate"/>
    <x v="0"/>
    <n v="315361"/>
    <n v="804"/>
    <n v="1131802"/>
    <n v="48"/>
    <n v="13.51"/>
    <x v="0"/>
    <x v="2"/>
    <x v="0"/>
    <n v="26764.76"/>
    <n v="516714.47"/>
    <x v="0"/>
    <d v="2024-03-07T00:00:00"/>
  </r>
  <r>
    <s v="L00618"/>
    <s v="C10619"/>
    <x v="1"/>
    <n v="40"/>
    <s v="Single"/>
    <s v="Non Graduate"/>
    <x v="0"/>
    <n v="1624940"/>
    <n v="714"/>
    <n v="800075"/>
    <n v="120"/>
    <n v="8.91"/>
    <x v="4"/>
    <x v="0"/>
    <x v="0"/>
    <n v="7261.35"/>
    <n v="241959.56"/>
    <x v="0"/>
    <d v="2025-05-08T00:00:00"/>
  </r>
  <r>
    <s v="L00619"/>
    <s v="C10620"/>
    <x v="1"/>
    <n v="34"/>
    <s v="Married"/>
    <s v="Graduate"/>
    <x v="0"/>
    <n v="1954903"/>
    <n v="741"/>
    <n v="1229101"/>
    <n v="240"/>
    <n v="13.6"/>
    <x v="2"/>
    <x v="0"/>
    <x v="0"/>
    <n v="5817.74"/>
    <n v="736625.22"/>
    <x v="0"/>
    <d v="2025-08-06T00:00:00"/>
  </r>
  <r>
    <s v="L00620"/>
    <s v="C10621"/>
    <x v="0"/>
    <n v="42"/>
    <s v="Single"/>
    <s v="Non Graduate"/>
    <x v="1"/>
    <n v="1347993"/>
    <n v="847"/>
    <n v="1249093"/>
    <n v="48"/>
    <n v="10.18"/>
    <x v="4"/>
    <x v="1"/>
    <x v="0"/>
    <n v="28671.89"/>
    <n v="239927.93"/>
    <x v="0"/>
    <d v="2025-07-04T00:00:00"/>
  </r>
  <r>
    <s v="L00621"/>
    <s v="C10622"/>
    <x v="1"/>
    <n v="43"/>
    <s v="Married"/>
    <s v="Graduate"/>
    <x v="1"/>
    <n v="1223412"/>
    <n v="554"/>
    <n v="934203"/>
    <n v="240"/>
    <n v="13.25"/>
    <x v="3"/>
    <x v="0"/>
    <x v="0"/>
    <n v="4408.2700000000004"/>
    <n v="209693.63"/>
    <x v="0"/>
    <d v="2025-03-14T00:00:00"/>
  </r>
  <r>
    <s v="L00622"/>
    <s v="C10623"/>
    <x v="1"/>
    <n v="52"/>
    <s v="Single"/>
    <s v="Graduate"/>
    <x v="0"/>
    <n v="1766126"/>
    <n v="762"/>
    <n v="1717893"/>
    <n v="12"/>
    <n v="11.41"/>
    <x v="2"/>
    <x v="5"/>
    <x v="0"/>
    <n v="159492.04999999999"/>
    <n v="491455.28"/>
    <x v="0"/>
    <d v="2024-04-15T00:00:00"/>
  </r>
  <r>
    <s v="L00623"/>
    <s v="C10624"/>
    <x v="1"/>
    <n v="48"/>
    <s v="Married"/>
    <s v="Non Graduate"/>
    <x v="1"/>
    <n v="923290"/>
    <n v="568"/>
    <n v="1321214"/>
    <n v="24"/>
    <n v="11.65"/>
    <x v="1"/>
    <x v="1"/>
    <x v="1"/>
    <n v="61463.98"/>
    <n v="1119724.6399999999"/>
    <x v="0"/>
    <d v="2024-08-28T00:00:00"/>
  </r>
  <r>
    <s v="L00624"/>
    <s v="C10625"/>
    <x v="0"/>
    <n v="29"/>
    <s v="Married"/>
    <s v="Graduate"/>
    <x v="0"/>
    <n v="1694308"/>
    <n v="608"/>
    <n v="990613"/>
    <n v="36"/>
    <n v="8.19"/>
    <x v="1"/>
    <x v="3"/>
    <x v="0"/>
    <n v="29770.67"/>
    <n v="403288.4"/>
    <x v="0"/>
    <d v="2025-08-14T00:00:00"/>
  </r>
  <r>
    <s v="L00625"/>
    <s v="C10626"/>
    <x v="1"/>
    <n v="33"/>
    <s v="Single"/>
    <s v="Non Graduate"/>
    <x v="0"/>
    <n v="1941703"/>
    <n v="767"/>
    <n v="1663747"/>
    <n v="60"/>
    <n v="13.77"/>
    <x v="0"/>
    <x v="5"/>
    <x v="0"/>
    <n v="31547.42"/>
    <n v="1268927.73"/>
    <x v="0"/>
    <d v="2025-10-14T00:00:00"/>
  </r>
  <r>
    <s v="L00626"/>
    <s v="C10627"/>
    <x v="0"/>
    <n v="43"/>
    <s v="Married"/>
    <s v="Non Graduate"/>
    <x v="0"/>
    <n v="1354535"/>
    <n v="709"/>
    <n v="1410357"/>
    <n v="36"/>
    <n v="15.46"/>
    <x v="1"/>
    <x v="0"/>
    <x v="0"/>
    <n v="45233.279999999999"/>
    <n v="1359357.22"/>
    <x v="0"/>
    <d v="2024-03-30T00:00:00"/>
  </r>
  <r>
    <s v="L00627"/>
    <s v="C10628"/>
    <x v="0"/>
    <n v="42"/>
    <s v="Single"/>
    <s v="Graduate"/>
    <x v="1"/>
    <n v="910521"/>
    <n v="831"/>
    <n v="1880540"/>
    <n v="24"/>
    <n v="13.2"/>
    <x v="2"/>
    <x v="0"/>
    <x v="0"/>
    <n v="88698.8"/>
    <n v="1461661.81"/>
    <x v="0"/>
    <d v="2024-01-26T00:00:00"/>
  </r>
  <r>
    <s v="L00628"/>
    <s v="C10629"/>
    <x v="1"/>
    <n v="50"/>
    <s v="Married"/>
    <s v="Graduate"/>
    <x v="1"/>
    <n v="275701"/>
    <n v="823"/>
    <n v="1233229"/>
    <n v="60"/>
    <n v="11.23"/>
    <x v="0"/>
    <x v="4"/>
    <x v="0"/>
    <n v="22862.01"/>
    <n v="1018743.62"/>
    <x v="0"/>
    <d v="2024-09-19T00:00:00"/>
  </r>
  <r>
    <s v="L00629"/>
    <s v="C10630"/>
    <x v="0"/>
    <n v="48"/>
    <s v="Married"/>
    <s v="Graduate"/>
    <x v="1"/>
    <n v="1619505"/>
    <n v="699"/>
    <n v="378680"/>
    <n v="240"/>
    <n v="13.94"/>
    <x v="1"/>
    <x v="3"/>
    <x v="0"/>
    <n v="1797.78"/>
    <n v="313434.38"/>
    <x v="0"/>
    <d v="2025-06-06T00:00:00"/>
  </r>
  <r>
    <s v="L00630"/>
    <s v="C10631"/>
    <x v="1"/>
    <n v="30"/>
    <s v="Married"/>
    <s v="Non Graduate"/>
    <x v="1"/>
    <n v="1117234"/>
    <n v="635"/>
    <n v="866845"/>
    <n v="36"/>
    <n v="13.05"/>
    <x v="0"/>
    <x v="0"/>
    <x v="1"/>
    <n v="27221.34"/>
    <n v="634594.29"/>
    <x v="0"/>
    <d v="2024-12-28T00:00:00"/>
  </r>
  <r>
    <s v="L00631"/>
    <s v="C10632"/>
    <x v="0"/>
    <n v="23"/>
    <s v="Married"/>
    <s v="Graduate"/>
    <x v="1"/>
    <n v="1944260"/>
    <n v="568"/>
    <n v="605588"/>
    <n v="84"/>
    <n v="12.64"/>
    <x v="4"/>
    <x v="5"/>
    <x v="0"/>
    <n v="8120.65"/>
    <n v="125815.48"/>
    <x v="1"/>
    <d v="2025-03-06T00:00:00"/>
  </r>
  <r>
    <s v="L00632"/>
    <s v="C10633"/>
    <x v="1"/>
    <n v="48"/>
    <s v="Married"/>
    <s v="Non Graduate"/>
    <x v="1"/>
    <n v="717234"/>
    <n v="828"/>
    <n v="1852324"/>
    <n v="180"/>
    <n v="10.62"/>
    <x v="0"/>
    <x v="2"/>
    <x v="0"/>
    <n v="11383.56"/>
    <n v="586733.88"/>
    <x v="0"/>
    <d v="2025-02-22T00:00:00"/>
  </r>
  <r>
    <s v="L00633"/>
    <s v="C10634"/>
    <x v="0"/>
    <n v="44"/>
    <s v="Married"/>
    <s v="Graduate"/>
    <x v="1"/>
    <n v="1070232"/>
    <n v="739"/>
    <n v="710452"/>
    <n v="12"/>
    <n v="10.050000000000001"/>
    <x v="2"/>
    <x v="0"/>
    <x v="0"/>
    <n v="65154.37"/>
    <n v="190505.8"/>
    <x v="0"/>
    <d v="2024-05-29T00:00:00"/>
  </r>
  <r>
    <s v="L00634"/>
    <s v="C10635"/>
    <x v="1"/>
    <n v="21"/>
    <s v="Single"/>
    <s v="Non Graduate"/>
    <x v="1"/>
    <n v="729498"/>
    <n v="710"/>
    <n v="1099747"/>
    <n v="180"/>
    <n v="12.81"/>
    <x v="0"/>
    <x v="2"/>
    <x v="0"/>
    <n v="6892.36"/>
    <n v="1051003.45"/>
    <x v="0"/>
    <d v="2025-05-03T00:00:00"/>
  </r>
  <r>
    <s v="L00635"/>
    <s v="C10636"/>
    <x v="0"/>
    <n v="37"/>
    <s v="Single"/>
    <s v="Non Graduate"/>
    <x v="1"/>
    <n v="1402421"/>
    <n v="797"/>
    <n v="535003"/>
    <n v="60"/>
    <n v="10.36"/>
    <x v="2"/>
    <x v="4"/>
    <x v="0"/>
    <n v="9840.49"/>
    <n v="100356.46"/>
    <x v="0"/>
    <d v="2024-09-11T00:00:00"/>
  </r>
  <r>
    <s v="L00636"/>
    <s v="C10637"/>
    <x v="1"/>
    <n v="56"/>
    <s v="Single"/>
    <s v="Graduate"/>
    <x v="0"/>
    <n v="1940015"/>
    <n v="656"/>
    <n v="1100509"/>
    <n v="120"/>
    <n v="9.0399999999999991"/>
    <x v="3"/>
    <x v="5"/>
    <x v="0"/>
    <n v="9999.9599999999991"/>
    <n v="297340.34999999998"/>
    <x v="0"/>
    <d v="2025-05-29T00:00:00"/>
  </r>
  <r>
    <s v="L00637"/>
    <s v="C10638"/>
    <x v="1"/>
    <n v="27"/>
    <s v="Married"/>
    <s v="Non Graduate"/>
    <x v="0"/>
    <n v="400516"/>
    <n v="564"/>
    <n v="1858723"/>
    <n v="84"/>
    <n v="12.03"/>
    <x v="2"/>
    <x v="2"/>
    <x v="0"/>
    <n v="24789.61"/>
    <n v="706247.48"/>
    <x v="0"/>
    <d v="2025-07-19T00:00:00"/>
  </r>
  <r>
    <s v="L00638"/>
    <s v="C10639"/>
    <x v="0"/>
    <n v="26"/>
    <s v="Married"/>
    <s v="Graduate"/>
    <x v="1"/>
    <n v="1998997"/>
    <n v="601"/>
    <n v="472906"/>
    <n v="36"/>
    <n v="8.94"/>
    <x v="4"/>
    <x v="0"/>
    <x v="0"/>
    <n v="14310.66"/>
    <n v="282623.64"/>
    <x v="1"/>
    <d v="2024-10-27T00:00:00"/>
  </r>
  <r>
    <s v="L00639"/>
    <s v="C10640"/>
    <x v="1"/>
    <n v="34"/>
    <s v="Married"/>
    <s v="Graduate"/>
    <x v="0"/>
    <n v="1060976"/>
    <n v="747"/>
    <n v="100620"/>
    <n v="84"/>
    <n v="11.5"/>
    <x v="4"/>
    <x v="5"/>
    <x v="0"/>
    <n v="1335.61"/>
    <n v="48503.91"/>
    <x v="0"/>
    <d v="2025-03-26T00:00:00"/>
  </r>
  <r>
    <s v="L00640"/>
    <s v="C10641"/>
    <x v="1"/>
    <n v="39"/>
    <s v="Single"/>
    <s v="Non Graduate"/>
    <x v="0"/>
    <n v="1306779"/>
    <n v="621"/>
    <n v="1263063"/>
    <n v="12"/>
    <n v="14.57"/>
    <x v="0"/>
    <x v="4"/>
    <x v="1"/>
    <n v="120590.94"/>
    <n v="958671.46"/>
    <x v="0"/>
    <d v="2025-03-02T00:00:00"/>
  </r>
  <r>
    <s v="L00641"/>
    <s v="C10642"/>
    <x v="1"/>
    <n v="45"/>
    <s v="Married"/>
    <s v="Non Graduate"/>
    <x v="0"/>
    <n v="1247995"/>
    <n v="558"/>
    <n v="523290"/>
    <n v="84"/>
    <n v="11.22"/>
    <x v="2"/>
    <x v="4"/>
    <x v="0"/>
    <n v="6928.61"/>
    <n v="103166.26"/>
    <x v="0"/>
    <d v="2024-04-16T00:00:00"/>
  </r>
  <r>
    <s v="L00642"/>
    <s v="C10643"/>
    <x v="1"/>
    <n v="37"/>
    <s v="Single"/>
    <s v="Non Graduate"/>
    <x v="0"/>
    <n v="965320"/>
    <n v="746"/>
    <n v="932273"/>
    <n v="60"/>
    <n v="9"/>
    <x v="0"/>
    <x v="2"/>
    <x v="0"/>
    <n v="16936.29"/>
    <n v="136951.64000000001"/>
    <x v="0"/>
    <d v="2025-02-03T00:00:00"/>
  </r>
  <r>
    <s v="L00643"/>
    <s v="C10644"/>
    <x v="1"/>
    <n v="55"/>
    <s v="Married"/>
    <s v="Non Graduate"/>
    <x v="0"/>
    <n v="1430006"/>
    <n v="715"/>
    <n v="983723"/>
    <n v="48"/>
    <n v="13.04"/>
    <x v="0"/>
    <x v="0"/>
    <x v="0"/>
    <n v="23166.68"/>
    <n v="766178.48"/>
    <x v="0"/>
    <d v="2025-04-24T00:00:00"/>
  </r>
  <r>
    <s v="L00644"/>
    <s v="C10645"/>
    <x v="0"/>
    <n v="54"/>
    <s v="Single"/>
    <s v="Graduate"/>
    <x v="0"/>
    <n v="321031"/>
    <n v="774"/>
    <n v="1675483"/>
    <n v="60"/>
    <n v="9.9600000000000009"/>
    <x v="4"/>
    <x v="4"/>
    <x v="0"/>
    <n v="30706.02"/>
    <n v="1235675.3700000001"/>
    <x v="0"/>
    <d v="2024-03-04T00:00:00"/>
  </r>
  <r>
    <s v="L00645"/>
    <s v="C10646"/>
    <x v="0"/>
    <n v="33"/>
    <s v="Single"/>
    <s v="Non Graduate"/>
    <x v="1"/>
    <n v="1966455"/>
    <n v="654"/>
    <n v="1048076"/>
    <n v="24"/>
    <n v="15.05"/>
    <x v="2"/>
    <x v="1"/>
    <x v="0"/>
    <n v="50242.14"/>
    <n v="230671.99"/>
    <x v="0"/>
    <d v="2024-10-13T00:00:00"/>
  </r>
  <r>
    <s v="L00646"/>
    <s v="C10647"/>
    <x v="1"/>
    <n v="48"/>
    <s v="Married"/>
    <s v="Graduate"/>
    <x v="1"/>
    <n v="1101191"/>
    <n v="763"/>
    <n v="306779"/>
    <n v="60"/>
    <n v="14.95"/>
    <x v="3"/>
    <x v="0"/>
    <x v="0"/>
    <n v="5877.37"/>
    <n v="222571.34"/>
    <x v="0"/>
    <d v="2024-03-21T00:00:00"/>
  </r>
  <r>
    <s v="L00647"/>
    <s v="C10648"/>
    <x v="0"/>
    <n v="29"/>
    <s v="Married"/>
    <s v="Non Graduate"/>
    <x v="0"/>
    <n v="1769827"/>
    <n v="784"/>
    <n v="284761"/>
    <n v="12"/>
    <n v="13.52"/>
    <x v="2"/>
    <x v="2"/>
    <x v="0"/>
    <n v="26938.39"/>
    <n v="264188.99"/>
    <x v="0"/>
    <d v="2024-06-01T00:00:00"/>
  </r>
  <r>
    <s v="L00648"/>
    <s v="C10649"/>
    <x v="1"/>
    <n v="46"/>
    <s v="Married"/>
    <s v="Non Graduate"/>
    <x v="0"/>
    <n v="677783"/>
    <n v="643"/>
    <n v="1861710"/>
    <n v="240"/>
    <n v="11.35"/>
    <x v="3"/>
    <x v="2"/>
    <x v="1"/>
    <n v="8637.56"/>
    <n v="826842.9"/>
    <x v="0"/>
    <d v="2024-09-04T00:00:00"/>
  </r>
  <r>
    <s v="L00649"/>
    <s v="C10650"/>
    <x v="0"/>
    <n v="44"/>
    <s v="Single"/>
    <s v="Non Graduate"/>
    <x v="0"/>
    <n v="579776"/>
    <n v="623"/>
    <n v="762735"/>
    <n v="48"/>
    <n v="14.48"/>
    <x v="2"/>
    <x v="1"/>
    <x v="1"/>
    <n v="18191.23"/>
    <n v="80500.59"/>
    <x v="0"/>
    <d v="2024-07-18T00:00:00"/>
  </r>
  <r>
    <s v="L00650"/>
    <s v="C10651"/>
    <x v="0"/>
    <n v="43"/>
    <s v="Married"/>
    <s v="Non Graduate"/>
    <x v="1"/>
    <n v="1765422"/>
    <n v="823"/>
    <n v="1571562"/>
    <n v="240"/>
    <n v="9.69"/>
    <x v="4"/>
    <x v="3"/>
    <x v="0"/>
    <n v="7182.69"/>
    <n v="912266.43"/>
    <x v="0"/>
    <d v="2024-04-10T00:00:00"/>
  </r>
  <r>
    <s v="L00651"/>
    <s v="C10652"/>
    <x v="1"/>
    <n v="49"/>
    <s v="Married"/>
    <s v="Non Graduate"/>
    <x v="1"/>
    <n v="1769718"/>
    <n v="710"/>
    <n v="1544023"/>
    <n v="120"/>
    <n v="9.76"/>
    <x v="3"/>
    <x v="0"/>
    <x v="0"/>
    <n v="14122.66"/>
    <n v="1363317.51"/>
    <x v="0"/>
    <d v="2025-01-01T00:00:00"/>
  </r>
  <r>
    <s v="L00652"/>
    <s v="C10653"/>
    <x v="1"/>
    <n v="49"/>
    <s v="Married"/>
    <s v="Graduate"/>
    <x v="0"/>
    <n v="317005"/>
    <n v="711"/>
    <n v="1578759"/>
    <n v="12"/>
    <n v="7.69"/>
    <x v="4"/>
    <x v="2"/>
    <x v="1"/>
    <n v="141680.46"/>
    <n v="400658.99"/>
    <x v="0"/>
    <d v="2025-02-17T00:00:00"/>
  </r>
  <r>
    <s v="L00653"/>
    <s v="C10654"/>
    <x v="1"/>
    <n v="55"/>
    <s v="Married"/>
    <s v="Non Graduate"/>
    <x v="0"/>
    <n v="469822"/>
    <n v="841"/>
    <n v="1058956"/>
    <n v="24"/>
    <n v="12.69"/>
    <x v="3"/>
    <x v="3"/>
    <x v="0"/>
    <n v="49722.400000000001"/>
    <n v="161739.82"/>
    <x v="0"/>
    <d v="2025-04-03T00:00:00"/>
  </r>
  <r>
    <s v="L00654"/>
    <s v="C10655"/>
    <x v="1"/>
    <n v="38"/>
    <s v="Married"/>
    <s v="Graduate"/>
    <x v="0"/>
    <n v="1848896"/>
    <n v="646"/>
    <n v="581450"/>
    <n v="60"/>
    <n v="9.25"/>
    <x v="4"/>
    <x v="0"/>
    <x v="1"/>
    <n v="10587.24"/>
    <n v="99248.2"/>
    <x v="0"/>
    <d v="2025-05-03T00:00:00"/>
  </r>
  <r>
    <s v="L00655"/>
    <s v="C10656"/>
    <x v="0"/>
    <n v="52"/>
    <s v="Married"/>
    <s v="Graduate"/>
    <x v="1"/>
    <n v="300413"/>
    <n v="582"/>
    <n v="1837596"/>
    <n v="36"/>
    <n v="14.1"/>
    <x v="0"/>
    <x v="0"/>
    <x v="0"/>
    <n v="58241.58"/>
    <n v="1471952.45"/>
    <x v="0"/>
    <d v="2025-03-20T00:00:00"/>
  </r>
  <r>
    <s v="L00656"/>
    <s v="C10657"/>
    <x v="0"/>
    <n v="49"/>
    <s v="Single"/>
    <s v="Non Graduate"/>
    <x v="1"/>
    <n v="1317662"/>
    <n v="737"/>
    <n v="1927396"/>
    <n v="12"/>
    <n v="10.39"/>
    <x v="1"/>
    <x v="4"/>
    <x v="0"/>
    <n v="177304.37"/>
    <n v="1009550.71"/>
    <x v="0"/>
    <d v="2024-08-05T00:00:00"/>
  </r>
  <r>
    <s v="L00657"/>
    <s v="C10658"/>
    <x v="0"/>
    <n v="36"/>
    <s v="Single"/>
    <s v="Graduate"/>
    <x v="1"/>
    <n v="389887"/>
    <n v="645"/>
    <n v="1205174"/>
    <n v="240"/>
    <n v="9.33"/>
    <x v="2"/>
    <x v="1"/>
    <x v="0"/>
    <n v="5490.07"/>
    <n v="458017.5"/>
    <x v="0"/>
    <d v="2024-09-19T00:00:00"/>
  </r>
  <r>
    <s v="L00658"/>
    <s v="C10659"/>
    <x v="0"/>
    <n v="28"/>
    <s v="Married"/>
    <s v="Non Graduate"/>
    <x v="0"/>
    <n v="1597482"/>
    <n v="821"/>
    <n v="459121"/>
    <n v="84"/>
    <n v="9.59"/>
    <x v="2"/>
    <x v="3"/>
    <x v="0"/>
    <n v="5989.89"/>
    <n v="405619.28"/>
    <x v="0"/>
    <d v="2025-02-23T00:00:00"/>
  </r>
  <r>
    <s v="L00659"/>
    <s v="C10660"/>
    <x v="1"/>
    <n v="40"/>
    <s v="Married"/>
    <s v="Graduate"/>
    <x v="1"/>
    <n v="261051"/>
    <n v="586"/>
    <n v="1956624"/>
    <n v="24"/>
    <n v="11.83"/>
    <x v="3"/>
    <x v="5"/>
    <x v="0"/>
    <n v="91170.53"/>
    <n v="1472485.75"/>
    <x v="0"/>
    <d v="2025-10-16T00:00:00"/>
  </r>
  <r>
    <s v="L00660"/>
    <s v="C10661"/>
    <x v="0"/>
    <n v="39"/>
    <s v="Single"/>
    <s v="Graduate"/>
    <x v="1"/>
    <n v="1827582"/>
    <n v="739"/>
    <n v="1228118"/>
    <n v="120"/>
    <n v="13.62"/>
    <x v="0"/>
    <x v="4"/>
    <x v="0"/>
    <n v="11628.23"/>
    <n v="191014.2"/>
    <x v="0"/>
    <d v="2025-11-28T00:00:00"/>
  </r>
  <r>
    <s v="L00661"/>
    <s v="C10662"/>
    <x v="1"/>
    <n v="47"/>
    <s v="Single"/>
    <s v="Non Graduate"/>
    <x v="1"/>
    <n v="1438081"/>
    <n v="550"/>
    <n v="861274"/>
    <n v="48"/>
    <n v="9.3699999999999992"/>
    <x v="3"/>
    <x v="3"/>
    <x v="1"/>
    <n v="19624.490000000002"/>
    <n v="459039.7"/>
    <x v="0"/>
    <d v="2025-10-08T00:00:00"/>
  </r>
  <r>
    <s v="L00662"/>
    <s v="C10663"/>
    <x v="0"/>
    <n v="51"/>
    <s v="Married"/>
    <s v="Non Graduate"/>
    <x v="0"/>
    <n v="429308"/>
    <n v="849"/>
    <n v="999306"/>
    <n v="180"/>
    <n v="10.25"/>
    <x v="3"/>
    <x v="0"/>
    <x v="0"/>
    <n v="6120.75"/>
    <n v="718289.59"/>
    <x v="0"/>
    <d v="2024-01-19T00:00:00"/>
  </r>
  <r>
    <s v="L00663"/>
    <s v="C10664"/>
    <x v="1"/>
    <n v="55"/>
    <s v="Married"/>
    <s v="Non Graduate"/>
    <x v="0"/>
    <n v="411903"/>
    <n v="798"/>
    <n v="411519"/>
    <n v="180"/>
    <n v="10.81"/>
    <x v="0"/>
    <x v="3"/>
    <x v="0"/>
    <n v="2533.36"/>
    <n v="355600.25"/>
    <x v="0"/>
    <d v="2025-11-20T00:00:00"/>
  </r>
  <r>
    <s v="L00664"/>
    <s v="C10665"/>
    <x v="0"/>
    <n v="41"/>
    <s v="Single"/>
    <s v="Graduate"/>
    <x v="0"/>
    <n v="1933983"/>
    <n v="793"/>
    <n v="1778253"/>
    <n v="48"/>
    <n v="11.95"/>
    <x v="0"/>
    <x v="2"/>
    <x v="0"/>
    <n v="41474.050000000003"/>
    <n v="1503668.23"/>
    <x v="0"/>
    <d v="2025-02-03T00:00:00"/>
  </r>
  <r>
    <s v="L00665"/>
    <s v="C10666"/>
    <x v="0"/>
    <n v="36"/>
    <s v="Single"/>
    <s v="Non Graduate"/>
    <x v="1"/>
    <n v="1800889"/>
    <n v="601"/>
    <n v="1938562"/>
    <n v="24"/>
    <n v="7.98"/>
    <x v="1"/>
    <x v="1"/>
    <x v="1"/>
    <n v="87219.14"/>
    <n v="1304025.69"/>
    <x v="0"/>
    <d v="2025-09-21T00:00:00"/>
  </r>
  <r>
    <s v="L00666"/>
    <s v="C10667"/>
    <x v="0"/>
    <n v="60"/>
    <s v="Single"/>
    <s v="Non Graduate"/>
    <x v="1"/>
    <n v="961126"/>
    <n v="764"/>
    <n v="750198"/>
    <n v="240"/>
    <n v="13.52"/>
    <x v="2"/>
    <x v="1"/>
    <x v="0"/>
    <n v="3548.44"/>
    <n v="749221.6"/>
    <x v="0"/>
    <d v="2025-06-05T00:00:00"/>
  </r>
  <r>
    <s v="L00667"/>
    <s v="C10668"/>
    <x v="0"/>
    <n v="32"/>
    <s v="Single"/>
    <s v="Non Graduate"/>
    <x v="1"/>
    <n v="1324692"/>
    <n v="775"/>
    <n v="1346099"/>
    <n v="84"/>
    <n v="15.29"/>
    <x v="2"/>
    <x v="2"/>
    <x v="0"/>
    <n v="18475.21"/>
    <n v="361034.35"/>
    <x v="0"/>
    <d v="2025-06-12T00:00:00"/>
  </r>
  <r>
    <s v="L00668"/>
    <s v="C10669"/>
    <x v="0"/>
    <n v="48"/>
    <s v="Single"/>
    <s v="Non Graduate"/>
    <x v="1"/>
    <n v="1883365"/>
    <n v="604"/>
    <n v="739991"/>
    <n v="180"/>
    <n v="7.96"/>
    <x v="0"/>
    <x v="5"/>
    <x v="1"/>
    <n v="4438.3"/>
    <n v="113083.85"/>
    <x v="0"/>
    <d v="2024-12-30T00:00:00"/>
  </r>
  <r>
    <s v="L00669"/>
    <s v="C10670"/>
    <x v="1"/>
    <n v="35"/>
    <s v="Single"/>
    <s v="Non Graduate"/>
    <x v="0"/>
    <n v="1931489"/>
    <n v="587"/>
    <n v="1258570"/>
    <n v="120"/>
    <n v="10.99"/>
    <x v="2"/>
    <x v="3"/>
    <x v="0"/>
    <n v="11640.72"/>
    <n v="725373.75"/>
    <x v="0"/>
    <d v="2025-03-02T00:00:00"/>
  </r>
  <r>
    <s v="L00670"/>
    <s v="C10671"/>
    <x v="0"/>
    <n v="21"/>
    <s v="Married"/>
    <s v="Non Graduate"/>
    <x v="1"/>
    <n v="563600"/>
    <n v="613"/>
    <n v="461245"/>
    <n v="12"/>
    <n v="8.4"/>
    <x v="2"/>
    <x v="2"/>
    <x v="0"/>
    <n v="41665.800000000003"/>
    <n v="148142.64000000001"/>
    <x v="1"/>
    <d v="2025-01-02T00:00:00"/>
  </r>
  <r>
    <s v="L00671"/>
    <s v="C10672"/>
    <x v="1"/>
    <n v="37"/>
    <s v="Single"/>
    <s v="Graduate"/>
    <x v="0"/>
    <n v="1378063"/>
    <n v="598"/>
    <n v="491520"/>
    <n v="120"/>
    <n v="9.3800000000000008"/>
    <x v="2"/>
    <x v="1"/>
    <x v="0"/>
    <n v="4480.2"/>
    <n v="122863.79"/>
    <x v="1"/>
    <d v="2025-03-13T00:00:00"/>
  </r>
  <r>
    <s v="L00672"/>
    <s v="C10673"/>
    <x v="0"/>
    <n v="31"/>
    <s v="Single"/>
    <s v="Graduate"/>
    <x v="1"/>
    <n v="1360389"/>
    <n v="562"/>
    <n v="1185734"/>
    <n v="12"/>
    <n v="14.87"/>
    <x v="3"/>
    <x v="0"/>
    <x v="1"/>
    <n v="113504.39"/>
    <n v="342229.39"/>
    <x v="0"/>
    <d v="2024-05-25T00:00:00"/>
  </r>
  <r>
    <s v="L00673"/>
    <s v="C10674"/>
    <x v="0"/>
    <n v="21"/>
    <s v="Single"/>
    <s v="Non Graduate"/>
    <x v="1"/>
    <n v="1269009"/>
    <n v="558"/>
    <n v="781212"/>
    <n v="60"/>
    <n v="9.6300000000000008"/>
    <x v="3"/>
    <x v="4"/>
    <x v="0"/>
    <n v="14274.05"/>
    <n v="612078.23"/>
    <x v="1"/>
    <d v="2024-03-20T00:00:00"/>
  </r>
  <r>
    <s v="L00674"/>
    <s v="C10675"/>
    <x v="1"/>
    <n v="42"/>
    <s v="Married"/>
    <s v="Non Graduate"/>
    <x v="0"/>
    <n v="1734346"/>
    <n v="756"/>
    <n v="124996"/>
    <n v="36"/>
    <n v="10.35"/>
    <x v="1"/>
    <x v="5"/>
    <x v="0"/>
    <n v="3831.47"/>
    <n v="113462.35"/>
    <x v="0"/>
    <d v="2025-04-05T00:00:00"/>
  </r>
  <r>
    <s v="L00675"/>
    <s v="C10676"/>
    <x v="1"/>
    <n v="31"/>
    <s v="Single"/>
    <s v="Non Graduate"/>
    <x v="1"/>
    <n v="669490"/>
    <n v="691"/>
    <n v="1524632"/>
    <n v="48"/>
    <n v="13.68"/>
    <x v="2"/>
    <x v="2"/>
    <x v="0"/>
    <n v="36108.370000000003"/>
    <n v="1513877.56"/>
    <x v="0"/>
    <d v="2025-05-03T00:00:00"/>
  </r>
  <r>
    <s v="L00676"/>
    <s v="C10677"/>
    <x v="1"/>
    <n v="26"/>
    <s v="Single"/>
    <s v="Non Graduate"/>
    <x v="1"/>
    <n v="1354196"/>
    <n v="758"/>
    <n v="1283580"/>
    <n v="24"/>
    <n v="9.06"/>
    <x v="0"/>
    <x v="5"/>
    <x v="0"/>
    <n v="58328.01"/>
    <n v="824713.4"/>
    <x v="0"/>
    <d v="2024-09-02T00:00:00"/>
  </r>
  <r>
    <s v="L00677"/>
    <s v="C10678"/>
    <x v="0"/>
    <n v="56"/>
    <s v="Married"/>
    <s v="Graduate"/>
    <x v="1"/>
    <n v="813429"/>
    <n v="648"/>
    <n v="408488"/>
    <n v="36"/>
    <n v="14.23"/>
    <x v="3"/>
    <x v="1"/>
    <x v="1"/>
    <n v="12961.55"/>
    <n v="403166.55"/>
    <x v="0"/>
    <d v="2025-09-16T00:00:00"/>
  </r>
  <r>
    <s v="L00678"/>
    <s v="C10679"/>
    <x v="0"/>
    <n v="37"/>
    <s v="Single"/>
    <s v="Non Graduate"/>
    <x v="1"/>
    <n v="600607"/>
    <n v="653"/>
    <n v="1364382"/>
    <n v="120"/>
    <n v="14.72"/>
    <x v="1"/>
    <x v="3"/>
    <x v="0"/>
    <n v="13043.49"/>
    <n v="517320.29"/>
    <x v="0"/>
    <d v="2025-04-20T00:00:00"/>
  </r>
  <r>
    <s v="L00679"/>
    <s v="C10680"/>
    <x v="0"/>
    <n v="60"/>
    <s v="Married"/>
    <s v="Graduate"/>
    <x v="1"/>
    <n v="1663086"/>
    <n v="661"/>
    <n v="147485"/>
    <n v="12"/>
    <n v="7.79"/>
    <x v="4"/>
    <x v="5"/>
    <x v="0"/>
    <n v="13247.84"/>
    <n v="96937.44"/>
    <x v="0"/>
    <d v="2024-09-15T00:00:00"/>
  </r>
  <r>
    <s v="L00680"/>
    <s v="C10681"/>
    <x v="0"/>
    <n v="29"/>
    <s v="Married"/>
    <s v="Graduate"/>
    <x v="1"/>
    <n v="1055383"/>
    <n v="622"/>
    <n v="762050"/>
    <n v="36"/>
    <n v="8.8699999999999992"/>
    <x v="3"/>
    <x v="3"/>
    <x v="1"/>
    <n v="23045.66"/>
    <n v="336262.67"/>
    <x v="0"/>
    <d v="2025-11-14T00:00:00"/>
  </r>
  <r>
    <s v="L00681"/>
    <s v="C10682"/>
    <x v="1"/>
    <n v="43"/>
    <s v="Married"/>
    <s v="Non Graduate"/>
    <x v="0"/>
    <n v="1776662"/>
    <n v="676"/>
    <n v="1183293"/>
    <n v="48"/>
    <n v="15.2"/>
    <x v="2"/>
    <x v="4"/>
    <x v="0"/>
    <n v="28399.03"/>
    <n v="595036.59"/>
    <x v="0"/>
    <d v="2025-01-12T00:00:00"/>
  </r>
  <r>
    <s v="L00682"/>
    <s v="C10683"/>
    <x v="1"/>
    <n v="34"/>
    <s v="Single"/>
    <s v="Graduate"/>
    <x v="0"/>
    <n v="438214"/>
    <n v="563"/>
    <n v="1029633"/>
    <n v="120"/>
    <n v="11.68"/>
    <x v="0"/>
    <x v="1"/>
    <x v="0"/>
    <n v="9582.4500000000007"/>
    <n v="784989.12"/>
    <x v="1"/>
    <d v="2025-03-12T00:00:00"/>
  </r>
  <r>
    <s v="L00683"/>
    <s v="C10684"/>
    <x v="1"/>
    <n v="48"/>
    <s v="Single"/>
    <s v="Graduate"/>
    <x v="0"/>
    <n v="641958"/>
    <n v="695"/>
    <n v="526868"/>
    <n v="120"/>
    <n v="8.7100000000000009"/>
    <x v="0"/>
    <x v="0"/>
    <x v="0"/>
    <n v="4772.99"/>
    <n v="108016.91"/>
    <x v="0"/>
    <d v="2024-04-14T00:00:00"/>
  </r>
  <r>
    <s v="L00684"/>
    <s v="C10685"/>
    <x v="1"/>
    <n v="36"/>
    <s v="Single"/>
    <s v="Graduate"/>
    <x v="1"/>
    <n v="1206717"/>
    <n v="743"/>
    <n v="1790668"/>
    <n v="180"/>
    <n v="12.64"/>
    <x v="4"/>
    <x v="3"/>
    <x v="0"/>
    <n v="11205.6"/>
    <n v="228895.1"/>
    <x v="0"/>
    <d v="2025-06-16T00:00:00"/>
  </r>
  <r>
    <s v="L00685"/>
    <s v="C10686"/>
    <x v="0"/>
    <n v="41"/>
    <s v="Married"/>
    <s v="Graduate"/>
    <x v="1"/>
    <n v="1961096"/>
    <n v="557"/>
    <n v="1801598"/>
    <n v="48"/>
    <n v="8.9499999999999993"/>
    <x v="0"/>
    <x v="5"/>
    <x v="0"/>
    <n v="40892.519999999997"/>
    <n v="1148789.94"/>
    <x v="0"/>
    <d v="2025-04-13T00:00:00"/>
  </r>
  <r>
    <s v="L00686"/>
    <s v="C10687"/>
    <x v="0"/>
    <n v="27"/>
    <s v="Single"/>
    <s v="Graduate"/>
    <x v="1"/>
    <n v="752461"/>
    <n v="606"/>
    <n v="1509185"/>
    <n v="36"/>
    <n v="14.82"/>
    <x v="4"/>
    <x v="5"/>
    <x v="0"/>
    <n v="48134.62"/>
    <n v="575873"/>
    <x v="0"/>
    <d v="2025-10-10T00:00:00"/>
  </r>
  <r>
    <s v="L00687"/>
    <s v="C10688"/>
    <x v="1"/>
    <n v="49"/>
    <s v="Married"/>
    <s v="Non Graduate"/>
    <x v="1"/>
    <n v="292476"/>
    <n v="591"/>
    <n v="179912"/>
    <n v="36"/>
    <n v="10.92"/>
    <x v="3"/>
    <x v="2"/>
    <x v="1"/>
    <n v="5543.29"/>
    <n v="80776.490000000005"/>
    <x v="0"/>
    <d v="2025-02-14T00:00:00"/>
  </r>
  <r>
    <s v="L00688"/>
    <s v="C10689"/>
    <x v="1"/>
    <n v="23"/>
    <s v="Married"/>
    <s v="Graduate"/>
    <x v="1"/>
    <n v="472830"/>
    <n v="677"/>
    <n v="341994"/>
    <n v="60"/>
    <n v="14.42"/>
    <x v="3"/>
    <x v="1"/>
    <x v="0"/>
    <n v="6521.83"/>
    <n v="201728.85"/>
    <x v="0"/>
    <d v="2024-04-07T00:00:00"/>
  </r>
  <r>
    <s v="L00689"/>
    <s v="C10690"/>
    <x v="1"/>
    <n v="37"/>
    <s v="Married"/>
    <s v="Graduate"/>
    <x v="1"/>
    <n v="372175"/>
    <n v="847"/>
    <n v="1582264"/>
    <n v="60"/>
    <n v="11.41"/>
    <x v="4"/>
    <x v="1"/>
    <x v="0"/>
    <n v="29380.01"/>
    <n v="1019669.98"/>
    <x v="0"/>
    <d v="2024-10-01T00:00:00"/>
  </r>
  <r>
    <s v="L00690"/>
    <s v="C10691"/>
    <x v="1"/>
    <n v="45"/>
    <s v="Married"/>
    <s v="Non Graduate"/>
    <x v="0"/>
    <n v="1015836"/>
    <n v="587"/>
    <n v="683830"/>
    <n v="180"/>
    <n v="9.52"/>
    <x v="3"/>
    <x v="0"/>
    <x v="0"/>
    <n v="4160.7299999999996"/>
    <n v="221750.31"/>
    <x v="0"/>
    <d v="2024-04-21T00:00:00"/>
  </r>
  <r>
    <s v="L00691"/>
    <s v="C10692"/>
    <x v="1"/>
    <n v="43"/>
    <s v="Married"/>
    <s v="Non Graduate"/>
    <x v="0"/>
    <n v="762461"/>
    <n v="798"/>
    <n v="1699666"/>
    <n v="60"/>
    <n v="9.24"/>
    <x v="1"/>
    <x v="0"/>
    <x v="0"/>
    <n v="30945.25"/>
    <n v="570386.15"/>
    <x v="0"/>
    <d v="2025-06-12T00:00:00"/>
  </r>
  <r>
    <s v="L00692"/>
    <s v="C10693"/>
    <x v="1"/>
    <n v="36"/>
    <s v="Married"/>
    <s v="Non Graduate"/>
    <x v="1"/>
    <n v="1137411"/>
    <n v="647"/>
    <n v="754013"/>
    <n v="12"/>
    <n v="12.94"/>
    <x v="2"/>
    <x v="5"/>
    <x v="1"/>
    <n v="70965.19"/>
    <n v="431910.42"/>
    <x v="0"/>
    <d v="2024-01-01T00:00:00"/>
  </r>
  <r>
    <s v="L00693"/>
    <s v="C10694"/>
    <x v="0"/>
    <n v="48"/>
    <s v="Married"/>
    <s v="Graduate"/>
    <x v="0"/>
    <n v="1344701"/>
    <n v="575"/>
    <n v="1690297"/>
    <n v="120"/>
    <n v="13.32"/>
    <x v="4"/>
    <x v="4"/>
    <x v="1"/>
    <n v="15962.04"/>
    <n v="1482831.5"/>
    <x v="0"/>
    <d v="2024-08-03T00:00:00"/>
  </r>
  <r>
    <s v="L00694"/>
    <s v="C10695"/>
    <x v="1"/>
    <n v="60"/>
    <s v="Single"/>
    <s v="Graduate"/>
    <x v="1"/>
    <n v="1069787"/>
    <n v="608"/>
    <n v="977847"/>
    <n v="84"/>
    <n v="11.26"/>
    <x v="2"/>
    <x v="4"/>
    <x v="0"/>
    <n v="12951.82"/>
    <n v="468762.5"/>
    <x v="0"/>
    <d v="2025-01-02T00:00:00"/>
  </r>
  <r>
    <s v="L00695"/>
    <s v="C10696"/>
    <x v="0"/>
    <n v="25"/>
    <s v="Single"/>
    <s v="Graduate"/>
    <x v="1"/>
    <n v="1815298"/>
    <n v="698"/>
    <n v="593961"/>
    <n v="120"/>
    <n v="14.1"/>
    <x v="4"/>
    <x v="4"/>
    <x v="0"/>
    <n v="5647.58"/>
    <n v="330343.19"/>
    <x v="0"/>
    <d v="2025-07-10T00:00:00"/>
  </r>
  <r>
    <s v="L00696"/>
    <s v="C10697"/>
    <x v="0"/>
    <n v="34"/>
    <s v="Married"/>
    <s v="Non Graduate"/>
    <x v="0"/>
    <n v="1124654"/>
    <n v="716"/>
    <n v="805577"/>
    <n v="36"/>
    <n v="9.9"/>
    <x v="2"/>
    <x v="5"/>
    <x v="0"/>
    <n v="24592.48"/>
    <n v="121755.23"/>
    <x v="0"/>
    <d v="2024-01-17T00:00:00"/>
  </r>
  <r>
    <s v="L00697"/>
    <s v="C10698"/>
    <x v="0"/>
    <n v="31"/>
    <s v="Married"/>
    <s v="Non Graduate"/>
    <x v="1"/>
    <n v="1416114"/>
    <n v="791"/>
    <n v="1842645"/>
    <n v="48"/>
    <n v="10.07"/>
    <x v="1"/>
    <x v="3"/>
    <x v="0"/>
    <n v="42254.15"/>
    <n v="1446635.24"/>
    <x v="0"/>
    <d v="2025-06-29T00:00:00"/>
  </r>
  <r>
    <s v="L00698"/>
    <s v="C10699"/>
    <x v="1"/>
    <n v="56"/>
    <s v="Single"/>
    <s v="Graduate"/>
    <x v="0"/>
    <n v="1007219"/>
    <n v="657"/>
    <n v="533798"/>
    <n v="120"/>
    <n v="14.19"/>
    <x v="2"/>
    <x v="5"/>
    <x v="0"/>
    <n v="5079.53"/>
    <n v="502259.02"/>
    <x v="0"/>
    <d v="2024-04-04T00:00:00"/>
  </r>
  <r>
    <s v="L00699"/>
    <s v="C10700"/>
    <x v="0"/>
    <n v="46"/>
    <s v="Single"/>
    <s v="Graduate"/>
    <x v="0"/>
    <n v="962061"/>
    <n v="724"/>
    <n v="1435819"/>
    <n v="36"/>
    <n v="10.51"/>
    <x v="2"/>
    <x v="1"/>
    <x v="0"/>
    <n v="44075.65"/>
    <n v="645059.51"/>
    <x v="0"/>
    <d v="2024-05-05T00:00:00"/>
  </r>
  <r>
    <s v="L00700"/>
    <s v="C10701"/>
    <x v="1"/>
    <n v="39"/>
    <s v="Single"/>
    <s v="Non Graduate"/>
    <x v="0"/>
    <n v="1495863"/>
    <n v="682"/>
    <n v="1040368"/>
    <n v="84"/>
    <n v="13.83"/>
    <x v="0"/>
    <x v="0"/>
    <x v="0"/>
    <n v="14098.22"/>
    <n v="460493.64"/>
    <x v="0"/>
    <d v="2024-07-24T00:00:00"/>
  </r>
  <r>
    <s v="L00701"/>
    <s v="C10702"/>
    <x v="1"/>
    <n v="25"/>
    <s v="Married"/>
    <s v="Graduate"/>
    <x v="1"/>
    <n v="1691790"/>
    <n v="734"/>
    <n v="1335630"/>
    <n v="60"/>
    <n v="13.02"/>
    <x v="4"/>
    <x v="3"/>
    <x v="0"/>
    <n v="25158.82"/>
    <n v="521331.74"/>
    <x v="0"/>
    <d v="2024-05-31T00:00:00"/>
  </r>
  <r>
    <s v="L00702"/>
    <s v="C10703"/>
    <x v="1"/>
    <n v="58"/>
    <s v="Single"/>
    <s v="Non Graduate"/>
    <x v="1"/>
    <n v="1683842"/>
    <n v="823"/>
    <n v="305531"/>
    <n v="12"/>
    <n v="12.38"/>
    <x v="2"/>
    <x v="4"/>
    <x v="0"/>
    <n v="28612.98"/>
    <n v="145204.12"/>
    <x v="0"/>
    <d v="2024-06-15T00:00:00"/>
  </r>
  <r>
    <s v="L00703"/>
    <s v="C10704"/>
    <x v="1"/>
    <n v="38"/>
    <s v="Single"/>
    <s v="Non Graduate"/>
    <x v="0"/>
    <n v="1045815"/>
    <n v="592"/>
    <n v="1466660"/>
    <n v="60"/>
    <n v="8.98"/>
    <x v="1"/>
    <x v="4"/>
    <x v="0"/>
    <n v="26639.43"/>
    <n v="1358134.35"/>
    <x v="0"/>
    <d v="2025-03-31T00:00:00"/>
  </r>
  <r>
    <s v="L00704"/>
    <s v="C10705"/>
    <x v="1"/>
    <n v="40"/>
    <s v="Single"/>
    <s v="Non Graduate"/>
    <x v="0"/>
    <n v="1500618"/>
    <n v="699"/>
    <n v="1886854"/>
    <n v="12"/>
    <n v="11.55"/>
    <x v="2"/>
    <x v="4"/>
    <x v="0"/>
    <n v="175398.8"/>
    <n v="1199928.8700000001"/>
    <x v="0"/>
    <d v="2024-01-15T00:00:00"/>
  </r>
  <r>
    <s v="L00705"/>
    <s v="C10706"/>
    <x v="0"/>
    <n v="49"/>
    <s v="Single"/>
    <s v="Non Graduate"/>
    <x v="1"/>
    <n v="450596"/>
    <n v="615"/>
    <n v="1778552"/>
    <n v="180"/>
    <n v="8.39"/>
    <x v="0"/>
    <x v="3"/>
    <x v="0"/>
    <n v="10709.85"/>
    <n v="451561.66"/>
    <x v="1"/>
    <d v="2025-09-23T00:00:00"/>
  </r>
  <r>
    <s v="L00706"/>
    <s v="C10707"/>
    <x v="1"/>
    <n v="35"/>
    <s v="Married"/>
    <s v="Graduate"/>
    <x v="1"/>
    <n v="1298477"/>
    <n v="824"/>
    <n v="749550"/>
    <n v="36"/>
    <n v="9.8699999999999992"/>
    <x v="0"/>
    <x v="1"/>
    <x v="0"/>
    <n v="22875.85"/>
    <n v="396567.91"/>
    <x v="0"/>
    <d v="2024-09-20T00:00:00"/>
  </r>
  <r>
    <s v="L00707"/>
    <s v="C10708"/>
    <x v="1"/>
    <n v="56"/>
    <s v="Married"/>
    <s v="Non Graduate"/>
    <x v="1"/>
    <n v="529348"/>
    <n v="756"/>
    <n v="1593462"/>
    <n v="36"/>
    <n v="9.98"/>
    <x v="3"/>
    <x v="3"/>
    <x v="0"/>
    <n v="48680.26"/>
    <n v="697582.19"/>
    <x v="0"/>
    <d v="2024-03-30T00:00:00"/>
  </r>
  <r>
    <s v="L00708"/>
    <s v="C10709"/>
    <x v="0"/>
    <n v="39"/>
    <s v="Single"/>
    <s v="Graduate"/>
    <x v="0"/>
    <n v="803359"/>
    <n v="799"/>
    <n v="475427"/>
    <n v="180"/>
    <n v="12.82"/>
    <x v="1"/>
    <x v="3"/>
    <x v="0"/>
    <n v="2979.87"/>
    <n v="112270.88"/>
    <x v="0"/>
    <d v="2024-11-25T00:00:00"/>
  </r>
  <r>
    <s v="L00709"/>
    <s v="C10710"/>
    <x v="0"/>
    <n v="50"/>
    <s v="Married"/>
    <s v="Graduate"/>
    <x v="1"/>
    <n v="1769171"/>
    <n v="667"/>
    <n v="228963"/>
    <n v="12"/>
    <n v="9.1199999999999992"/>
    <x v="0"/>
    <x v="0"/>
    <x v="0"/>
    <n v="20820.37"/>
    <n v="122648.64"/>
    <x v="0"/>
    <d v="2024-11-10T00:00:00"/>
  </r>
  <r>
    <s v="L00710"/>
    <s v="C10711"/>
    <x v="1"/>
    <n v="60"/>
    <s v="Married"/>
    <s v="Graduate"/>
    <x v="0"/>
    <n v="465226"/>
    <n v="678"/>
    <n v="962426"/>
    <n v="24"/>
    <n v="14.43"/>
    <x v="1"/>
    <x v="0"/>
    <x v="0"/>
    <n v="45887.67"/>
    <n v="288877.48"/>
    <x v="0"/>
    <d v="2025-02-13T00:00:00"/>
  </r>
  <r>
    <s v="L00711"/>
    <s v="C10712"/>
    <x v="0"/>
    <n v="45"/>
    <s v="Single"/>
    <s v="Graduate"/>
    <x v="0"/>
    <n v="1802868"/>
    <n v="728"/>
    <n v="1089993"/>
    <n v="240"/>
    <n v="13.23"/>
    <x v="0"/>
    <x v="4"/>
    <x v="0"/>
    <n v="5142.5"/>
    <n v="1032584.2"/>
    <x v="0"/>
    <d v="2025-12-14T00:00:00"/>
  </r>
  <r>
    <s v="L00712"/>
    <s v="C10713"/>
    <x v="1"/>
    <n v="60"/>
    <s v="Single"/>
    <s v="Non Graduate"/>
    <x v="0"/>
    <n v="1632875"/>
    <n v="711"/>
    <n v="1393873"/>
    <n v="24"/>
    <n v="11.31"/>
    <x v="0"/>
    <x v="2"/>
    <x v="0"/>
    <n v="64646.67"/>
    <n v="746875.85"/>
    <x v="0"/>
    <d v="2025-10-21T00:00:00"/>
  </r>
  <r>
    <s v="L00713"/>
    <s v="C10714"/>
    <x v="0"/>
    <n v="28"/>
    <s v="Single"/>
    <s v="Graduate"/>
    <x v="1"/>
    <n v="809562"/>
    <n v="759"/>
    <n v="1626631"/>
    <n v="84"/>
    <n v="9.25"/>
    <x v="3"/>
    <x v="2"/>
    <x v="0"/>
    <n v="21155.89"/>
    <n v="1225933.7"/>
    <x v="0"/>
    <d v="2025-09-08T00:00:00"/>
  </r>
  <r>
    <s v="L00714"/>
    <s v="C10715"/>
    <x v="1"/>
    <n v="30"/>
    <s v="Single"/>
    <s v="Graduate"/>
    <x v="0"/>
    <n v="1704107"/>
    <n v="634"/>
    <n v="1078877"/>
    <n v="240"/>
    <n v="10.27"/>
    <x v="0"/>
    <x v="5"/>
    <x v="1"/>
    <n v="4956.99"/>
    <n v="998786.24"/>
    <x v="0"/>
    <d v="2025-12-16T00:00:00"/>
  </r>
  <r>
    <s v="L00715"/>
    <s v="C10716"/>
    <x v="1"/>
    <n v="32"/>
    <s v="Married"/>
    <s v="Graduate"/>
    <x v="1"/>
    <n v="436335"/>
    <n v="838"/>
    <n v="1113574"/>
    <n v="12"/>
    <n v="8.06"/>
    <x v="0"/>
    <x v="4"/>
    <x v="0"/>
    <n v="100277.34"/>
    <n v="907192.25"/>
    <x v="0"/>
    <d v="2024-09-07T00:00:00"/>
  </r>
  <r>
    <s v="L00716"/>
    <s v="C10717"/>
    <x v="0"/>
    <n v="29"/>
    <s v="Single"/>
    <s v="Graduate"/>
    <x v="1"/>
    <n v="1233310"/>
    <n v="623"/>
    <n v="1915990"/>
    <n v="180"/>
    <n v="13.87"/>
    <x v="2"/>
    <x v="2"/>
    <x v="1"/>
    <n v="12120.77"/>
    <n v="225829.94"/>
    <x v="0"/>
    <d v="2024-02-04T00:00:00"/>
  </r>
  <r>
    <s v="L00717"/>
    <s v="C10718"/>
    <x v="1"/>
    <n v="34"/>
    <s v="Single"/>
    <s v="Graduate"/>
    <x v="0"/>
    <n v="1232312"/>
    <n v="779"/>
    <n v="237030"/>
    <n v="36"/>
    <n v="12.71"/>
    <x v="4"/>
    <x v="2"/>
    <x v="0"/>
    <n v="7421.01"/>
    <n v="202044.6"/>
    <x v="0"/>
    <d v="2025-10-29T00:00:00"/>
  </r>
  <r>
    <s v="L00718"/>
    <s v="C10719"/>
    <x v="1"/>
    <n v="56"/>
    <s v="Single"/>
    <s v="Non Graduate"/>
    <x v="0"/>
    <n v="675683"/>
    <n v="645"/>
    <n v="786887"/>
    <n v="48"/>
    <n v="9.58"/>
    <x v="0"/>
    <x v="0"/>
    <x v="0"/>
    <n v="17963.97"/>
    <n v="145459.35"/>
    <x v="0"/>
    <d v="2024-05-27T00:00:00"/>
  </r>
  <r>
    <s v="L00719"/>
    <s v="C10720"/>
    <x v="1"/>
    <n v="25"/>
    <s v="Single"/>
    <s v="Non Graduate"/>
    <x v="1"/>
    <n v="1131110"/>
    <n v="643"/>
    <n v="1603216"/>
    <n v="12"/>
    <n v="13.27"/>
    <x v="3"/>
    <x v="5"/>
    <x v="0"/>
    <n v="151330.23000000001"/>
    <n v="733610.91"/>
    <x v="0"/>
    <d v="2024-08-17T00:00:00"/>
  </r>
  <r>
    <s v="L00720"/>
    <s v="C10721"/>
    <x v="1"/>
    <n v="56"/>
    <s v="Single"/>
    <s v="Non Graduate"/>
    <x v="1"/>
    <n v="849228"/>
    <n v="804"/>
    <n v="342712"/>
    <n v="120"/>
    <n v="9.2200000000000006"/>
    <x v="1"/>
    <x v="5"/>
    <x v="0"/>
    <n v="3119.25"/>
    <n v="178927.69"/>
    <x v="0"/>
    <d v="2025-03-13T00:00:00"/>
  </r>
  <r>
    <s v="L00721"/>
    <s v="C10722"/>
    <x v="0"/>
    <n v="52"/>
    <s v="Single"/>
    <s v="Non Graduate"/>
    <x v="1"/>
    <n v="1900749"/>
    <n v="837"/>
    <n v="101975"/>
    <n v="12"/>
    <n v="8.18"/>
    <x v="2"/>
    <x v="0"/>
    <x v="0"/>
    <n v="9193.0499999999993"/>
    <n v="75554.87"/>
    <x v="0"/>
    <d v="2025-09-07T00:00:00"/>
  </r>
  <r>
    <s v="L00722"/>
    <s v="C10723"/>
    <x v="0"/>
    <n v="50"/>
    <s v="Married"/>
    <s v="Graduate"/>
    <x v="0"/>
    <n v="825132"/>
    <n v="809"/>
    <n v="199979"/>
    <n v="48"/>
    <n v="13.46"/>
    <x v="1"/>
    <x v="3"/>
    <x v="0"/>
    <n v="4727"/>
    <n v="71805.45"/>
    <x v="0"/>
    <d v="2025-11-25T00:00:00"/>
  </r>
  <r>
    <s v="L00723"/>
    <s v="C10724"/>
    <x v="1"/>
    <n v="52"/>
    <s v="Single"/>
    <s v="Non Graduate"/>
    <x v="0"/>
    <n v="1279793"/>
    <n v="633"/>
    <n v="859261"/>
    <n v="12"/>
    <n v="10.210000000000001"/>
    <x v="2"/>
    <x v="3"/>
    <x v="0"/>
    <n v="78915.960000000006"/>
    <n v="701108.56"/>
    <x v="0"/>
    <d v="2025-11-17T00:00:00"/>
  </r>
  <r>
    <s v="L00724"/>
    <s v="C10725"/>
    <x v="0"/>
    <n v="54"/>
    <s v="Married"/>
    <s v="Graduate"/>
    <x v="1"/>
    <n v="587235"/>
    <n v="641"/>
    <n v="1250552"/>
    <n v="120"/>
    <n v="12.12"/>
    <x v="2"/>
    <x v="2"/>
    <x v="1"/>
    <n v="11684.32"/>
    <n v="965192.14"/>
    <x v="0"/>
    <d v="2024-06-22T00:00:00"/>
  </r>
  <r>
    <s v="L00725"/>
    <s v="C10726"/>
    <x v="1"/>
    <n v="25"/>
    <s v="Married"/>
    <s v="Non Graduate"/>
    <x v="0"/>
    <n v="1177156"/>
    <n v="584"/>
    <n v="1440842"/>
    <n v="180"/>
    <n v="9.7100000000000009"/>
    <x v="4"/>
    <x v="5"/>
    <x v="1"/>
    <n v="8781.93"/>
    <n v="252852.05"/>
    <x v="0"/>
    <d v="2025-04-25T00:00:00"/>
  </r>
  <r>
    <s v="L00726"/>
    <s v="C10727"/>
    <x v="0"/>
    <n v="21"/>
    <s v="Married"/>
    <s v="Graduate"/>
    <x v="1"/>
    <n v="790778"/>
    <n v="628"/>
    <n v="400024"/>
    <n v="48"/>
    <n v="8.93"/>
    <x v="0"/>
    <x v="3"/>
    <x v="0"/>
    <n v="9078.0400000000009"/>
    <n v="212103.23"/>
    <x v="0"/>
    <d v="2024-12-09T00:00:00"/>
  </r>
  <r>
    <s v="L00727"/>
    <s v="C10728"/>
    <x v="0"/>
    <n v="30"/>
    <s v="Married"/>
    <s v="Non Graduate"/>
    <x v="0"/>
    <n v="609745"/>
    <n v="640"/>
    <n v="1077773"/>
    <n v="48"/>
    <n v="11.57"/>
    <x v="0"/>
    <x v="5"/>
    <x v="1"/>
    <n v="25051.49"/>
    <n v="777844.48"/>
    <x v="0"/>
    <d v="2024-08-14T00:00:00"/>
  </r>
  <r>
    <s v="L00728"/>
    <s v="C10729"/>
    <x v="0"/>
    <n v="59"/>
    <s v="Married"/>
    <s v="Graduate"/>
    <x v="0"/>
    <n v="505828"/>
    <n v="716"/>
    <n v="211858"/>
    <n v="84"/>
    <n v="15.21"/>
    <x v="2"/>
    <x v="1"/>
    <x v="0"/>
    <n v="2905.73"/>
    <n v="102671.69"/>
    <x v="0"/>
    <d v="2025-06-14T00:00:00"/>
  </r>
  <r>
    <s v="L00729"/>
    <s v="C10730"/>
    <x v="1"/>
    <n v="24"/>
    <s v="Married"/>
    <s v="Non Graduate"/>
    <x v="1"/>
    <n v="1006041"/>
    <n v="657"/>
    <n v="581491"/>
    <n v="84"/>
    <n v="9.42"/>
    <x v="1"/>
    <x v="4"/>
    <x v="0"/>
    <n v="7574.61"/>
    <n v="284860.76"/>
    <x v="0"/>
    <d v="2024-09-16T00:00:00"/>
  </r>
  <r>
    <s v="L00730"/>
    <s v="C10731"/>
    <x v="1"/>
    <n v="57"/>
    <s v="Single"/>
    <s v="Graduate"/>
    <x v="1"/>
    <n v="1490538"/>
    <n v="815"/>
    <n v="1155357"/>
    <n v="12"/>
    <n v="9.11"/>
    <x v="0"/>
    <x v="3"/>
    <x v="0"/>
    <n v="105050.84"/>
    <n v="739939.68"/>
    <x v="0"/>
    <d v="2024-09-15T00:00:00"/>
  </r>
  <r>
    <s v="L00731"/>
    <s v="C10732"/>
    <x v="0"/>
    <n v="35"/>
    <s v="Married"/>
    <s v="Graduate"/>
    <x v="1"/>
    <n v="619505"/>
    <n v="646"/>
    <n v="1680246"/>
    <n v="84"/>
    <n v="13.62"/>
    <x v="0"/>
    <x v="0"/>
    <x v="0"/>
    <n v="22727.33"/>
    <n v="875372.76"/>
    <x v="0"/>
    <d v="2024-09-14T00:00:00"/>
  </r>
  <r>
    <s v="L00732"/>
    <s v="C10733"/>
    <x v="1"/>
    <n v="30"/>
    <s v="Married"/>
    <s v="Non Graduate"/>
    <x v="1"/>
    <n v="1198564"/>
    <n v="581"/>
    <n v="1080678"/>
    <n v="36"/>
    <n v="12.13"/>
    <x v="4"/>
    <x v="1"/>
    <x v="1"/>
    <n v="33660.120000000003"/>
    <n v="136932.07999999999"/>
    <x v="0"/>
    <d v="2025-06-30T00:00:00"/>
  </r>
  <r>
    <s v="L00733"/>
    <s v="C10734"/>
    <x v="0"/>
    <n v="42"/>
    <s v="Single"/>
    <s v="Non Graduate"/>
    <x v="1"/>
    <n v="514909"/>
    <n v="723"/>
    <n v="1956426"/>
    <n v="120"/>
    <n v="10.95"/>
    <x v="3"/>
    <x v="2"/>
    <x v="0"/>
    <n v="18088.79"/>
    <n v="877203.83"/>
    <x v="0"/>
    <d v="2024-10-30T00:00:00"/>
  </r>
  <r>
    <s v="L00734"/>
    <s v="C10735"/>
    <x v="1"/>
    <n v="59"/>
    <s v="Married"/>
    <s v="Graduate"/>
    <x v="1"/>
    <n v="632296"/>
    <n v="764"/>
    <n v="189773"/>
    <n v="24"/>
    <n v="7.56"/>
    <x v="1"/>
    <x v="0"/>
    <x v="0"/>
    <n v="8504.99"/>
    <n v="132178.41"/>
    <x v="0"/>
    <d v="2024-03-28T00:00:00"/>
  </r>
  <r>
    <s v="L00735"/>
    <s v="C10736"/>
    <x v="0"/>
    <n v="50"/>
    <s v="Married"/>
    <s v="Non Graduate"/>
    <x v="0"/>
    <n v="1444452"/>
    <n v="628"/>
    <n v="1155244"/>
    <n v="84"/>
    <n v="15.24"/>
    <x v="3"/>
    <x v="3"/>
    <x v="0"/>
    <n v="15848.85"/>
    <n v="544008.57999999996"/>
    <x v="0"/>
    <d v="2025-10-01T00:00:00"/>
  </r>
  <r>
    <s v="L00736"/>
    <s v="C10737"/>
    <x v="1"/>
    <n v="38"/>
    <s v="Married"/>
    <s v="Non Graduate"/>
    <x v="0"/>
    <n v="1940281"/>
    <n v="803"/>
    <n v="1865167"/>
    <n v="24"/>
    <n v="13.25"/>
    <x v="1"/>
    <x v="4"/>
    <x v="0"/>
    <n v="88012.57"/>
    <n v="1710378.73"/>
    <x v="0"/>
    <d v="2025-01-16T00:00:00"/>
  </r>
  <r>
    <s v="L00737"/>
    <s v="C10738"/>
    <x v="0"/>
    <n v="46"/>
    <s v="Single"/>
    <s v="Graduate"/>
    <x v="0"/>
    <n v="1678010"/>
    <n v="596"/>
    <n v="1879252"/>
    <n v="24"/>
    <n v="12.58"/>
    <x v="2"/>
    <x v="5"/>
    <x v="1"/>
    <n v="88152.58"/>
    <n v="695332.23"/>
    <x v="0"/>
    <d v="2024-07-23T00:00:00"/>
  </r>
  <r>
    <s v="L00738"/>
    <s v="C10739"/>
    <x v="1"/>
    <n v="34"/>
    <s v="Married"/>
    <s v="Graduate"/>
    <x v="0"/>
    <n v="371762"/>
    <n v="579"/>
    <n v="209830"/>
    <n v="120"/>
    <n v="10.4"/>
    <x v="4"/>
    <x v="2"/>
    <x v="1"/>
    <n v="1930.44"/>
    <n v="147399.04999999999"/>
    <x v="0"/>
    <d v="2024-12-29T00:00:00"/>
  </r>
  <r>
    <s v="L00739"/>
    <s v="C10740"/>
    <x v="1"/>
    <n v="56"/>
    <s v="Married"/>
    <s v="Graduate"/>
    <x v="0"/>
    <n v="870408"/>
    <n v="643"/>
    <n v="1880164"/>
    <n v="120"/>
    <n v="14.47"/>
    <x v="0"/>
    <x v="2"/>
    <x v="0"/>
    <n v="17935.2"/>
    <n v="1300193.3600000001"/>
    <x v="0"/>
    <d v="2024-10-09T00:00:00"/>
  </r>
  <r>
    <s v="L00740"/>
    <s v="C10741"/>
    <x v="1"/>
    <n v="56"/>
    <s v="Married"/>
    <s v="Graduate"/>
    <x v="1"/>
    <n v="1877943"/>
    <n v="629"/>
    <n v="180316"/>
    <n v="48"/>
    <n v="8.26"/>
    <x v="3"/>
    <x v="3"/>
    <x v="0"/>
    <n v="4066.88"/>
    <n v="115167.82"/>
    <x v="0"/>
    <d v="2025-07-25T00:00:00"/>
  </r>
  <r>
    <s v="L00741"/>
    <s v="C10742"/>
    <x v="0"/>
    <n v="36"/>
    <s v="Married"/>
    <s v="Graduate"/>
    <x v="1"/>
    <n v="1056135"/>
    <n v="833"/>
    <n v="1970077"/>
    <n v="120"/>
    <n v="8.36"/>
    <x v="0"/>
    <x v="4"/>
    <x v="0"/>
    <n v="17789.8"/>
    <n v="1569203.55"/>
    <x v="0"/>
    <d v="2025-11-07T00:00:00"/>
  </r>
  <r>
    <s v="L00742"/>
    <s v="C10743"/>
    <x v="0"/>
    <n v="46"/>
    <s v="Single"/>
    <s v="Graduate"/>
    <x v="0"/>
    <n v="1190435"/>
    <n v="608"/>
    <n v="1298956"/>
    <n v="240"/>
    <n v="13.35"/>
    <x v="1"/>
    <x v="4"/>
    <x v="0"/>
    <n v="6134.86"/>
    <n v="361029.01"/>
    <x v="0"/>
    <d v="2024-11-30T00:00:00"/>
  </r>
  <r>
    <s v="L00743"/>
    <s v="C10744"/>
    <x v="0"/>
    <n v="28"/>
    <s v="Single"/>
    <s v="Non Graduate"/>
    <x v="0"/>
    <n v="355822"/>
    <n v="744"/>
    <n v="663181"/>
    <n v="120"/>
    <n v="11.93"/>
    <x v="0"/>
    <x v="2"/>
    <x v="1"/>
    <n v="6185.82"/>
    <n v="359693.88"/>
    <x v="0"/>
    <d v="2025-10-06T00:00:00"/>
  </r>
  <r>
    <s v="L00744"/>
    <s v="C10745"/>
    <x v="0"/>
    <n v="51"/>
    <s v="Married"/>
    <s v="Non Graduate"/>
    <x v="1"/>
    <n v="340104"/>
    <n v="568"/>
    <n v="1262341"/>
    <n v="48"/>
    <n v="14.84"/>
    <x v="2"/>
    <x v="3"/>
    <x v="0"/>
    <n v="30201.51"/>
    <n v="1177436.2"/>
    <x v="0"/>
    <d v="2024-06-07T00:00:00"/>
  </r>
  <r>
    <s v="L00745"/>
    <s v="C10746"/>
    <x v="1"/>
    <n v="27"/>
    <s v="Married"/>
    <s v="Non Graduate"/>
    <x v="0"/>
    <n v="738571"/>
    <n v="741"/>
    <n v="1356529"/>
    <n v="48"/>
    <n v="7.65"/>
    <x v="4"/>
    <x v="4"/>
    <x v="0"/>
    <n v="30422.99"/>
    <n v="440385.66"/>
    <x v="0"/>
    <d v="2024-10-30T00:00:00"/>
  </r>
  <r>
    <s v="L00746"/>
    <s v="C10747"/>
    <x v="1"/>
    <n v="28"/>
    <s v="Married"/>
    <s v="Graduate"/>
    <x v="1"/>
    <n v="1625382"/>
    <n v="718"/>
    <n v="643948"/>
    <n v="120"/>
    <n v="14.33"/>
    <x v="1"/>
    <x v="0"/>
    <x v="0"/>
    <n v="6135.21"/>
    <n v="481528.82"/>
    <x v="0"/>
    <d v="2024-03-15T00:00:00"/>
  </r>
  <r>
    <s v="L00747"/>
    <s v="C10748"/>
    <x v="0"/>
    <n v="21"/>
    <s v="Single"/>
    <s v="Non Graduate"/>
    <x v="0"/>
    <n v="1805569"/>
    <n v="636"/>
    <n v="153017"/>
    <n v="84"/>
    <n v="14.27"/>
    <x v="3"/>
    <x v="5"/>
    <x v="1"/>
    <n v="2081.58"/>
    <n v="121899.78"/>
    <x v="0"/>
    <d v="2025-04-09T00:00:00"/>
  </r>
  <r>
    <s v="L00748"/>
    <s v="C10749"/>
    <x v="1"/>
    <n v="47"/>
    <s v="Married"/>
    <s v="Non Graduate"/>
    <x v="0"/>
    <n v="906712"/>
    <n v="640"/>
    <n v="1719671"/>
    <n v="240"/>
    <n v="10.18"/>
    <x v="1"/>
    <x v="0"/>
    <x v="1"/>
    <n v="7894.72"/>
    <n v="959290.39"/>
    <x v="0"/>
    <d v="2025-09-24T00:00:00"/>
  </r>
  <r>
    <s v="L00749"/>
    <s v="C10750"/>
    <x v="0"/>
    <n v="56"/>
    <s v="Married"/>
    <s v="Non Graduate"/>
    <x v="0"/>
    <n v="950418"/>
    <n v="730"/>
    <n v="1158637"/>
    <n v="84"/>
    <n v="10.11"/>
    <x v="4"/>
    <x v="0"/>
    <x v="0"/>
    <n v="15187.8"/>
    <n v="855712.25"/>
    <x v="0"/>
    <d v="2024-11-22T00:00:00"/>
  </r>
  <r>
    <s v="L00750"/>
    <s v="C10751"/>
    <x v="1"/>
    <n v="38"/>
    <s v="Married"/>
    <s v="Graduate"/>
    <x v="0"/>
    <n v="291366"/>
    <n v="682"/>
    <n v="719878"/>
    <n v="48"/>
    <n v="8.75"/>
    <x v="4"/>
    <x v="0"/>
    <x v="0"/>
    <n v="16309.74"/>
    <n v="428279.24"/>
    <x v="0"/>
    <d v="2025-04-25T00:00:00"/>
  </r>
  <r>
    <s v="L00751"/>
    <s v="C10752"/>
    <x v="0"/>
    <n v="44"/>
    <s v="Married"/>
    <s v="Non Graduate"/>
    <x v="0"/>
    <n v="1757901"/>
    <n v="687"/>
    <n v="1466279"/>
    <n v="48"/>
    <n v="14.29"/>
    <x v="3"/>
    <x v="0"/>
    <x v="0"/>
    <n v="34912.71"/>
    <n v="456219.72"/>
    <x v="0"/>
    <d v="2025-11-23T00:00:00"/>
  </r>
  <r>
    <s v="L00752"/>
    <s v="C10753"/>
    <x v="0"/>
    <n v="41"/>
    <s v="Married"/>
    <s v="Non Graduate"/>
    <x v="1"/>
    <n v="706467"/>
    <n v="714"/>
    <n v="571873"/>
    <n v="48"/>
    <n v="9.4"/>
    <x v="4"/>
    <x v="5"/>
    <x v="0"/>
    <n v="13033.94"/>
    <n v="263089.01"/>
    <x v="0"/>
    <d v="2024-06-04T00:00:00"/>
  </r>
  <r>
    <s v="L00753"/>
    <s v="C10754"/>
    <x v="0"/>
    <n v="29"/>
    <s v="Married"/>
    <s v="Graduate"/>
    <x v="0"/>
    <n v="1307950"/>
    <n v="640"/>
    <n v="1670514"/>
    <n v="84"/>
    <n v="7.83"/>
    <x v="1"/>
    <x v="1"/>
    <x v="0"/>
    <n v="21444.23"/>
    <n v="297513.71999999997"/>
    <x v="0"/>
    <d v="2025-10-06T00:00:00"/>
  </r>
  <r>
    <s v="L00754"/>
    <s v="C10755"/>
    <x v="0"/>
    <n v="55"/>
    <s v="Married"/>
    <s v="Graduate"/>
    <x v="1"/>
    <n v="1984782"/>
    <n v="567"/>
    <n v="252802"/>
    <n v="36"/>
    <n v="12.18"/>
    <x v="2"/>
    <x v="5"/>
    <x v="0"/>
    <n v="7877.59"/>
    <n v="162899.04999999999"/>
    <x v="1"/>
    <d v="2025-10-16T00:00:00"/>
  </r>
  <r>
    <s v="L00755"/>
    <s v="C10756"/>
    <x v="0"/>
    <n v="37"/>
    <s v="Single"/>
    <s v="Graduate"/>
    <x v="1"/>
    <n v="1787740"/>
    <n v="848"/>
    <n v="657231"/>
    <n v="24"/>
    <n v="10.72"/>
    <x v="3"/>
    <x v="4"/>
    <x v="0"/>
    <n v="30320.26"/>
    <n v="132065.41"/>
    <x v="0"/>
    <d v="2024-01-26T00:00:00"/>
  </r>
  <r>
    <s v="L00756"/>
    <s v="C10757"/>
    <x v="0"/>
    <n v="31"/>
    <s v="Married"/>
    <s v="Graduate"/>
    <x v="0"/>
    <n v="998064"/>
    <n v="648"/>
    <n v="281927"/>
    <n v="120"/>
    <n v="7.73"/>
    <x v="4"/>
    <x v="4"/>
    <x v="1"/>
    <n v="2531"/>
    <n v="280586.17"/>
    <x v="0"/>
    <d v="2024-07-24T00:00:00"/>
  </r>
  <r>
    <s v="L00757"/>
    <s v="C10758"/>
    <x v="1"/>
    <n v="26"/>
    <s v="Married"/>
    <s v="Non Graduate"/>
    <x v="1"/>
    <n v="1696438"/>
    <n v="710"/>
    <n v="1064315"/>
    <n v="12"/>
    <n v="11.78"/>
    <x v="1"/>
    <x v="4"/>
    <x v="0"/>
    <n v="99140.94"/>
    <n v="422216.26"/>
    <x v="0"/>
    <d v="2024-02-20T00:00:00"/>
  </r>
  <r>
    <s v="L00758"/>
    <s v="C10759"/>
    <x v="1"/>
    <n v="60"/>
    <s v="Single"/>
    <s v="Graduate"/>
    <x v="1"/>
    <n v="1905239"/>
    <n v="591"/>
    <n v="507935"/>
    <n v="48"/>
    <n v="15.41"/>
    <x v="4"/>
    <x v="3"/>
    <x v="0"/>
    <n v="12212.66"/>
    <n v="272350.64"/>
    <x v="1"/>
    <d v="2024-10-03T00:00:00"/>
  </r>
  <r>
    <s v="L00759"/>
    <s v="C10760"/>
    <x v="1"/>
    <n v="33"/>
    <s v="Single"/>
    <s v="Non Graduate"/>
    <x v="0"/>
    <n v="847615"/>
    <n v="662"/>
    <n v="764845"/>
    <n v="12"/>
    <n v="13.91"/>
    <x v="4"/>
    <x v="3"/>
    <x v="0"/>
    <n v="72602.91"/>
    <n v="617938.21"/>
    <x v="0"/>
    <d v="2025-03-10T00:00:00"/>
  </r>
  <r>
    <s v="L00760"/>
    <s v="C10761"/>
    <x v="0"/>
    <n v="33"/>
    <s v="Single"/>
    <s v="Non Graduate"/>
    <x v="0"/>
    <n v="884259"/>
    <n v="674"/>
    <n v="329812"/>
    <n v="84"/>
    <n v="14.83"/>
    <x v="3"/>
    <x v="1"/>
    <x v="0"/>
    <n v="4508.6099999999997"/>
    <n v="59655.74"/>
    <x v="0"/>
    <d v="2024-01-18T00:00:00"/>
  </r>
  <r>
    <s v="L00761"/>
    <s v="C10762"/>
    <x v="0"/>
    <n v="26"/>
    <s v="Married"/>
    <s v="Non Graduate"/>
    <x v="1"/>
    <n v="1150501"/>
    <n v="672"/>
    <n v="745152"/>
    <n v="36"/>
    <n v="8.93"/>
    <x v="2"/>
    <x v="2"/>
    <x v="0"/>
    <n v="22547.06"/>
    <n v="553556.56000000006"/>
    <x v="0"/>
    <d v="2025-03-02T00:00:00"/>
  </r>
  <r>
    <s v="L00762"/>
    <s v="C10763"/>
    <x v="0"/>
    <n v="32"/>
    <s v="Married"/>
    <s v="Non Graduate"/>
    <x v="1"/>
    <n v="1266885"/>
    <n v="683"/>
    <n v="1479923"/>
    <n v="12"/>
    <n v="14.13"/>
    <x v="4"/>
    <x v="1"/>
    <x v="0"/>
    <n v="140753.01"/>
    <n v="1281786.2"/>
    <x v="0"/>
    <d v="2024-07-01T00:00:00"/>
  </r>
  <r>
    <s v="L00763"/>
    <s v="C10764"/>
    <x v="1"/>
    <n v="54"/>
    <s v="Married"/>
    <s v="Non Graduate"/>
    <x v="1"/>
    <n v="762645"/>
    <n v="804"/>
    <n v="180760"/>
    <n v="180"/>
    <n v="8.25"/>
    <x v="1"/>
    <x v="1"/>
    <x v="0"/>
    <n v="1087.07"/>
    <n v="175911.03"/>
    <x v="0"/>
    <d v="2025-02-08T00:00:00"/>
  </r>
  <r>
    <s v="L00764"/>
    <s v="C10765"/>
    <x v="0"/>
    <n v="26"/>
    <s v="Married"/>
    <s v="Graduate"/>
    <x v="1"/>
    <n v="564851"/>
    <n v="710"/>
    <n v="1439780"/>
    <n v="12"/>
    <n v="8.0399999999999991"/>
    <x v="1"/>
    <x v="3"/>
    <x v="0"/>
    <n v="129628.19"/>
    <n v="611385.73"/>
    <x v="0"/>
    <d v="2025-04-15T00:00:00"/>
  </r>
  <r>
    <s v="L00765"/>
    <s v="C10766"/>
    <x v="1"/>
    <n v="41"/>
    <s v="Single"/>
    <s v="Graduate"/>
    <x v="1"/>
    <n v="610672"/>
    <n v="571"/>
    <n v="1550148"/>
    <n v="48"/>
    <n v="9.66"/>
    <x v="1"/>
    <x v="2"/>
    <x v="1"/>
    <n v="35414.42"/>
    <n v="1388589.17"/>
    <x v="0"/>
    <d v="2025-04-04T00:00:00"/>
  </r>
  <r>
    <s v="L00766"/>
    <s v="C10767"/>
    <x v="0"/>
    <n v="42"/>
    <s v="Single"/>
    <s v="Non Graduate"/>
    <x v="1"/>
    <n v="1813512"/>
    <n v="732"/>
    <n v="929522"/>
    <n v="24"/>
    <n v="7.8"/>
    <x v="3"/>
    <x v="3"/>
    <x v="0"/>
    <n v="41751.03"/>
    <n v="289511.03000000003"/>
    <x v="0"/>
    <d v="2025-12-10T00:00:00"/>
  </r>
  <r>
    <s v="L00767"/>
    <s v="C10768"/>
    <x v="0"/>
    <n v="46"/>
    <s v="Single"/>
    <s v="Graduate"/>
    <x v="1"/>
    <n v="1292056"/>
    <n v="678"/>
    <n v="962877"/>
    <n v="84"/>
    <n v="8.35"/>
    <x v="4"/>
    <x v="0"/>
    <x v="0"/>
    <n v="12419.97"/>
    <n v="879364.68"/>
    <x v="0"/>
    <d v="2024-10-07T00:00:00"/>
  </r>
  <r>
    <s v="L00768"/>
    <s v="C10769"/>
    <x v="0"/>
    <n v="51"/>
    <s v="Married"/>
    <s v="Non Graduate"/>
    <x v="1"/>
    <n v="1629756"/>
    <n v="588"/>
    <n v="699155"/>
    <n v="120"/>
    <n v="14.13"/>
    <x v="1"/>
    <x v="5"/>
    <x v="1"/>
    <n v="6649.55"/>
    <n v="389157.14"/>
    <x v="0"/>
    <d v="2025-04-18T00:00:00"/>
  </r>
  <r>
    <s v="L00769"/>
    <s v="C10770"/>
    <x v="1"/>
    <n v="58"/>
    <s v="Single"/>
    <s v="Graduate"/>
    <x v="1"/>
    <n v="1918199"/>
    <n v="729"/>
    <n v="289746"/>
    <n v="120"/>
    <n v="11.5"/>
    <x v="4"/>
    <x v="0"/>
    <x v="0"/>
    <n v="2692.22"/>
    <n v="202383.87"/>
    <x v="0"/>
    <d v="2025-01-15T00:00:00"/>
  </r>
  <r>
    <s v="L00770"/>
    <s v="C10771"/>
    <x v="1"/>
    <n v="50"/>
    <s v="Single"/>
    <s v="Non Graduate"/>
    <x v="1"/>
    <n v="1024157"/>
    <n v="784"/>
    <n v="813740"/>
    <n v="12"/>
    <n v="14.71"/>
    <x v="3"/>
    <x v="5"/>
    <x v="0"/>
    <n v="77786.759999999995"/>
    <n v="598354.79"/>
    <x v="0"/>
    <d v="2025-01-28T00:00:00"/>
  </r>
  <r>
    <s v="L00771"/>
    <s v="C10772"/>
    <x v="0"/>
    <n v="24"/>
    <s v="Married"/>
    <s v="Graduate"/>
    <x v="1"/>
    <n v="994648"/>
    <n v="843"/>
    <n v="280297"/>
    <n v="84"/>
    <n v="7.86"/>
    <x v="1"/>
    <x v="0"/>
    <x v="0"/>
    <n v="3599.15"/>
    <n v="203101.98"/>
    <x v="0"/>
    <d v="2024-10-20T00:00:00"/>
  </r>
  <r>
    <s v="L00772"/>
    <s v="C10773"/>
    <x v="1"/>
    <n v="24"/>
    <s v="Single"/>
    <s v="Non Graduate"/>
    <x v="1"/>
    <n v="1997103"/>
    <n v="819"/>
    <n v="281121"/>
    <n v="48"/>
    <n v="13.22"/>
    <x v="2"/>
    <x v="2"/>
    <x v="0"/>
    <n v="6630.94"/>
    <n v="232588.58"/>
    <x v="0"/>
    <d v="2024-02-09T00:00:00"/>
  </r>
  <r>
    <s v="L00773"/>
    <s v="C10774"/>
    <x v="0"/>
    <n v="52"/>
    <s v="Single"/>
    <s v="Non Graduate"/>
    <x v="1"/>
    <n v="1283081"/>
    <n v="692"/>
    <n v="1545794"/>
    <n v="240"/>
    <n v="10.94"/>
    <x v="0"/>
    <x v="3"/>
    <x v="0"/>
    <n v="7145.43"/>
    <n v="1539966.36"/>
    <x v="0"/>
    <d v="2024-04-24T00:00:00"/>
  </r>
  <r>
    <s v="L00774"/>
    <s v="C10775"/>
    <x v="0"/>
    <n v="36"/>
    <s v="Married"/>
    <s v="Graduate"/>
    <x v="1"/>
    <n v="1975960"/>
    <n v="695"/>
    <n v="1830311"/>
    <n v="120"/>
    <n v="12.97"/>
    <x v="2"/>
    <x v="1"/>
    <x v="0"/>
    <n v="17230.849999999999"/>
    <n v="958948.75"/>
    <x v="0"/>
    <d v="2025-06-14T00:00:00"/>
  </r>
  <r>
    <s v="L00775"/>
    <s v="C10776"/>
    <x v="0"/>
    <n v="57"/>
    <s v="Single"/>
    <s v="Graduate"/>
    <x v="1"/>
    <n v="1829786"/>
    <n v="726"/>
    <n v="957828"/>
    <n v="48"/>
    <n v="8.23"/>
    <x v="2"/>
    <x v="3"/>
    <x v="0"/>
    <n v="21597.03"/>
    <n v="488055.58"/>
    <x v="0"/>
    <d v="2025-03-05T00:00:00"/>
  </r>
  <r>
    <s v="L00776"/>
    <s v="C10777"/>
    <x v="1"/>
    <n v="21"/>
    <s v="Married"/>
    <s v="Graduate"/>
    <x v="0"/>
    <n v="848119"/>
    <n v="606"/>
    <n v="604577"/>
    <n v="240"/>
    <n v="9.3699999999999992"/>
    <x v="1"/>
    <x v="1"/>
    <x v="0"/>
    <n v="2755.11"/>
    <n v="603686.46"/>
    <x v="0"/>
    <d v="2024-07-04T00:00:00"/>
  </r>
  <r>
    <s v="L00777"/>
    <s v="C10778"/>
    <x v="1"/>
    <n v="21"/>
    <s v="Single"/>
    <s v="Graduate"/>
    <x v="0"/>
    <n v="470271"/>
    <n v="586"/>
    <n v="574078"/>
    <n v="240"/>
    <n v="15.45"/>
    <x v="3"/>
    <x v="1"/>
    <x v="1"/>
    <n v="2761.55"/>
    <n v="164144.95999999999"/>
    <x v="0"/>
    <d v="2025-08-01T00:00:00"/>
  </r>
  <r>
    <s v="L00778"/>
    <s v="C10779"/>
    <x v="0"/>
    <n v="36"/>
    <s v="Single"/>
    <s v="Non Graduate"/>
    <x v="0"/>
    <n v="1751646"/>
    <n v="722"/>
    <n v="1752135"/>
    <n v="24"/>
    <n v="12.17"/>
    <x v="4"/>
    <x v="2"/>
    <x v="0"/>
    <n v="81890.41"/>
    <n v="264393.21000000002"/>
    <x v="0"/>
    <d v="2025-07-06T00:00:00"/>
  </r>
  <r>
    <s v="L00779"/>
    <s v="C10780"/>
    <x v="1"/>
    <n v="23"/>
    <s v="Single"/>
    <s v="Graduate"/>
    <x v="1"/>
    <n v="389849"/>
    <n v="797"/>
    <n v="1193191"/>
    <n v="60"/>
    <n v="11.93"/>
    <x v="0"/>
    <x v="4"/>
    <x v="0"/>
    <n v="22258.98"/>
    <n v="232782.44"/>
    <x v="0"/>
    <d v="2025-10-03T00:00:00"/>
  </r>
  <r>
    <s v="L00780"/>
    <s v="C10781"/>
    <x v="1"/>
    <n v="58"/>
    <s v="Single"/>
    <s v="Non Graduate"/>
    <x v="1"/>
    <n v="846504"/>
    <n v="802"/>
    <n v="1493284"/>
    <n v="60"/>
    <n v="7.78"/>
    <x v="1"/>
    <x v="1"/>
    <x v="0"/>
    <n v="26824.36"/>
    <n v="1165569.25"/>
    <x v="0"/>
    <d v="2025-10-27T00:00:00"/>
  </r>
  <r>
    <s v="L00781"/>
    <s v="C10782"/>
    <x v="1"/>
    <n v="51"/>
    <s v="Single"/>
    <s v="Graduate"/>
    <x v="1"/>
    <n v="493157"/>
    <n v="618"/>
    <n v="1538580"/>
    <n v="120"/>
    <n v="13.61"/>
    <x v="4"/>
    <x v="5"/>
    <x v="0"/>
    <n v="14566.51"/>
    <n v="1511126.14"/>
    <x v="1"/>
    <d v="2024-06-18T00:00:00"/>
  </r>
  <r>
    <s v="L00782"/>
    <s v="C10783"/>
    <x v="0"/>
    <n v="58"/>
    <s v="Married"/>
    <s v="Graduate"/>
    <x v="0"/>
    <n v="1728254"/>
    <n v="840"/>
    <n v="1903575"/>
    <n v="84"/>
    <n v="11.31"/>
    <x v="1"/>
    <x v="0"/>
    <x v="0"/>
    <n v="25224.63"/>
    <n v="1654275.01"/>
    <x v="0"/>
    <d v="2025-10-23T00:00:00"/>
  </r>
  <r>
    <s v="L00783"/>
    <s v="C10784"/>
    <x v="0"/>
    <n v="59"/>
    <s v="Single"/>
    <s v="Non Graduate"/>
    <x v="0"/>
    <n v="1028838"/>
    <n v="840"/>
    <n v="1614239"/>
    <n v="12"/>
    <n v="12.92"/>
    <x v="3"/>
    <x v="4"/>
    <x v="0"/>
    <n v="151899.89000000001"/>
    <n v="482165.59"/>
    <x v="0"/>
    <d v="2024-01-02T00:00:00"/>
  </r>
  <r>
    <s v="L00784"/>
    <s v="C10785"/>
    <x v="1"/>
    <n v="43"/>
    <s v="Married"/>
    <s v="Graduate"/>
    <x v="1"/>
    <n v="1477893"/>
    <n v="848"/>
    <n v="241526"/>
    <n v="120"/>
    <n v="15.43"/>
    <x v="1"/>
    <x v="3"/>
    <x v="0"/>
    <n v="2323.2800000000002"/>
    <n v="129979.97"/>
    <x v="0"/>
    <d v="2024-06-14T00:00:00"/>
  </r>
  <r>
    <s v="L00785"/>
    <s v="C10786"/>
    <x v="1"/>
    <n v="60"/>
    <s v="Single"/>
    <s v="Graduate"/>
    <x v="0"/>
    <n v="1782323"/>
    <n v="628"/>
    <n v="1230736"/>
    <n v="84"/>
    <n v="14.43"/>
    <x v="3"/>
    <x v="3"/>
    <x v="1"/>
    <n v="16765.849999999999"/>
    <n v="329588.57"/>
    <x v="0"/>
    <d v="2025-09-02T00:00:00"/>
  </r>
  <r>
    <s v="L00786"/>
    <s v="C10787"/>
    <x v="1"/>
    <n v="26"/>
    <s v="Single"/>
    <s v="Graduate"/>
    <x v="0"/>
    <n v="1180802"/>
    <n v="663"/>
    <n v="433254"/>
    <n v="180"/>
    <n v="7.63"/>
    <x v="4"/>
    <x v="5"/>
    <x v="0"/>
    <n v="2590.62"/>
    <n v="389998.77"/>
    <x v="0"/>
    <d v="2025-08-22T00:00:00"/>
  </r>
  <r>
    <s v="L00787"/>
    <s v="C10788"/>
    <x v="0"/>
    <n v="53"/>
    <s v="Married"/>
    <s v="Non Graduate"/>
    <x v="1"/>
    <n v="1224211"/>
    <n v="751"/>
    <n v="1070775"/>
    <n v="48"/>
    <n v="12.08"/>
    <x v="3"/>
    <x v="4"/>
    <x v="0"/>
    <n v="25002.6"/>
    <n v="172869.66"/>
    <x v="0"/>
    <d v="2025-08-04T00:00:00"/>
  </r>
  <r>
    <s v="L00788"/>
    <s v="C10789"/>
    <x v="0"/>
    <n v="25"/>
    <s v="Single"/>
    <s v="Non Graduate"/>
    <x v="0"/>
    <n v="1599047"/>
    <n v="835"/>
    <n v="1962476"/>
    <n v="120"/>
    <n v="13.89"/>
    <x v="0"/>
    <x v="2"/>
    <x v="0"/>
    <n v="18625.53"/>
    <n v="295600.8"/>
    <x v="0"/>
    <d v="2025-06-05T00:00:00"/>
  </r>
  <r>
    <s v="L00789"/>
    <s v="C10790"/>
    <x v="1"/>
    <n v="45"/>
    <s v="Single"/>
    <s v="Graduate"/>
    <x v="1"/>
    <n v="1648240"/>
    <n v="703"/>
    <n v="1407862"/>
    <n v="84"/>
    <n v="15.44"/>
    <x v="3"/>
    <x v="4"/>
    <x v="0"/>
    <n v="19348.05"/>
    <n v="1371468.71"/>
    <x v="0"/>
    <d v="2025-03-11T00:00:00"/>
  </r>
  <r>
    <s v="L00790"/>
    <s v="C10791"/>
    <x v="0"/>
    <n v="37"/>
    <s v="Single"/>
    <s v="Graduate"/>
    <x v="0"/>
    <n v="1467317"/>
    <n v="590"/>
    <n v="1215085"/>
    <n v="180"/>
    <n v="12.53"/>
    <x v="1"/>
    <x v="3"/>
    <x v="1"/>
    <n v="7596.31"/>
    <n v="442810.83"/>
    <x v="0"/>
    <d v="2024-03-25T00:00:00"/>
  </r>
  <r>
    <s v="L00791"/>
    <s v="C10792"/>
    <x v="1"/>
    <n v="49"/>
    <s v="Married"/>
    <s v="Graduate"/>
    <x v="0"/>
    <n v="1334533"/>
    <n v="632"/>
    <n v="997910"/>
    <n v="180"/>
    <n v="9.0399999999999991"/>
    <x v="1"/>
    <x v="3"/>
    <x v="1"/>
    <n v="6045.12"/>
    <n v="871618.89"/>
    <x v="0"/>
    <d v="2024-02-06T00:00:00"/>
  </r>
  <r>
    <s v="L00792"/>
    <s v="C10793"/>
    <x v="1"/>
    <n v="33"/>
    <s v="Married"/>
    <s v="Graduate"/>
    <x v="0"/>
    <n v="638428"/>
    <n v="651"/>
    <n v="177227"/>
    <n v="60"/>
    <n v="13.94"/>
    <x v="0"/>
    <x v="0"/>
    <x v="0"/>
    <n v="3365.54"/>
    <n v="74599.929999999993"/>
    <x v="0"/>
    <d v="2025-02-12T00:00:00"/>
  </r>
  <r>
    <s v="L00793"/>
    <s v="C10794"/>
    <x v="0"/>
    <n v="22"/>
    <s v="Single"/>
    <s v="Non Graduate"/>
    <x v="1"/>
    <n v="552870"/>
    <n v="659"/>
    <n v="1986086"/>
    <n v="180"/>
    <n v="8.32"/>
    <x v="0"/>
    <x v="5"/>
    <x v="0"/>
    <n v="11951.82"/>
    <n v="455189.18"/>
    <x v="0"/>
    <d v="2024-07-31T00:00:00"/>
  </r>
  <r>
    <s v="L00794"/>
    <s v="C10795"/>
    <x v="1"/>
    <n v="41"/>
    <s v="Single"/>
    <s v="Non Graduate"/>
    <x v="0"/>
    <n v="1490132"/>
    <n v="700"/>
    <n v="885252"/>
    <n v="48"/>
    <n v="11.13"/>
    <x v="0"/>
    <x v="4"/>
    <x v="0"/>
    <n v="20495.43"/>
    <n v="539387.03"/>
    <x v="0"/>
    <d v="2024-04-20T00:00:00"/>
  </r>
  <r>
    <s v="L00795"/>
    <s v="C10796"/>
    <x v="0"/>
    <n v="25"/>
    <s v="Single"/>
    <s v="Non Graduate"/>
    <x v="0"/>
    <n v="1870050"/>
    <n v="648"/>
    <n v="1044393"/>
    <n v="24"/>
    <n v="11.82"/>
    <x v="1"/>
    <x v="0"/>
    <x v="1"/>
    <n v="48660.01"/>
    <n v="868169.45"/>
    <x v="0"/>
    <d v="2025-06-26T00:00:00"/>
  </r>
  <r>
    <s v="L00796"/>
    <s v="C10797"/>
    <x v="1"/>
    <n v="37"/>
    <s v="Married"/>
    <s v="Non Graduate"/>
    <x v="1"/>
    <n v="1799189"/>
    <n v="807"/>
    <n v="1957710"/>
    <n v="84"/>
    <n v="11.89"/>
    <x v="1"/>
    <x v="2"/>
    <x v="0"/>
    <n v="26077.16"/>
    <n v="665212.11"/>
    <x v="0"/>
    <d v="2025-03-30T00:00:00"/>
  </r>
  <r>
    <s v="L00797"/>
    <s v="C10798"/>
    <x v="1"/>
    <n v="60"/>
    <s v="Single"/>
    <s v="Graduate"/>
    <x v="0"/>
    <n v="1300728"/>
    <n v="787"/>
    <n v="433111"/>
    <n v="120"/>
    <n v="11.86"/>
    <x v="4"/>
    <x v="0"/>
    <x v="0"/>
    <n v="4037.32"/>
    <n v="262318.89"/>
    <x v="0"/>
    <d v="2024-07-02T00:00:00"/>
  </r>
  <r>
    <s v="L00798"/>
    <s v="C10799"/>
    <x v="1"/>
    <n v="23"/>
    <s v="Single"/>
    <s v="Non Graduate"/>
    <x v="1"/>
    <n v="487969"/>
    <n v="770"/>
    <n v="711880"/>
    <n v="120"/>
    <n v="15.03"/>
    <x v="3"/>
    <x v="4"/>
    <x v="0"/>
    <n v="6823.96"/>
    <n v="542574.98"/>
    <x v="0"/>
    <d v="2024-02-01T00:00:00"/>
  </r>
  <r>
    <s v="L00799"/>
    <s v="C10800"/>
    <x v="0"/>
    <n v="54"/>
    <s v="Married"/>
    <s v="Non Graduate"/>
    <x v="1"/>
    <n v="1663984"/>
    <n v="813"/>
    <n v="242593"/>
    <n v="240"/>
    <n v="13.25"/>
    <x v="4"/>
    <x v="0"/>
    <x v="0"/>
    <n v="1144.74"/>
    <n v="133119.07"/>
    <x v="0"/>
    <d v="2025-02-18T00:00:00"/>
  </r>
  <r>
    <s v="L00800"/>
    <s v="C10801"/>
    <x v="0"/>
    <n v="24"/>
    <s v="Married"/>
    <s v="Non Graduate"/>
    <x v="0"/>
    <n v="715894"/>
    <n v="789"/>
    <n v="1187991"/>
    <n v="240"/>
    <n v="11.1"/>
    <x v="3"/>
    <x v="2"/>
    <x v="0"/>
    <n v="5499.41"/>
    <n v="637799.96"/>
    <x v="0"/>
    <d v="2025-08-15T00:00:00"/>
  </r>
  <r>
    <s v="L00801"/>
    <s v="C10802"/>
    <x v="1"/>
    <n v="43"/>
    <s v="Married"/>
    <s v="Graduate"/>
    <x v="1"/>
    <n v="737657"/>
    <n v="696"/>
    <n v="881966"/>
    <n v="24"/>
    <n v="13.04"/>
    <x v="2"/>
    <x v="4"/>
    <x v="0"/>
    <n v="41540.6"/>
    <n v="799716.81"/>
    <x v="0"/>
    <d v="2025-12-13T00:00:00"/>
  </r>
  <r>
    <s v="L00802"/>
    <s v="C10803"/>
    <x v="1"/>
    <n v="55"/>
    <s v="Single"/>
    <s v="Graduate"/>
    <x v="0"/>
    <n v="1857308"/>
    <n v="754"/>
    <n v="603364"/>
    <n v="60"/>
    <n v="10.99"/>
    <x v="1"/>
    <x v="3"/>
    <x v="0"/>
    <n v="11161.23"/>
    <n v="314384.8"/>
    <x v="0"/>
    <d v="2025-06-25T00:00:00"/>
  </r>
  <r>
    <s v="L00803"/>
    <s v="C10804"/>
    <x v="0"/>
    <n v="29"/>
    <s v="Married"/>
    <s v="Non Graduate"/>
    <x v="1"/>
    <n v="819402"/>
    <n v="596"/>
    <n v="161619"/>
    <n v="240"/>
    <n v="12.92"/>
    <x v="4"/>
    <x v="3"/>
    <x v="0"/>
    <n v="760.42"/>
    <n v="46518.34"/>
    <x v="0"/>
    <d v="2024-07-28T00:00:00"/>
  </r>
  <r>
    <s v="L00804"/>
    <s v="C10805"/>
    <x v="1"/>
    <n v="53"/>
    <s v="Married"/>
    <s v="Graduate"/>
    <x v="0"/>
    <n v="988600"/>
    <n v="569"/>
    <n v="1995649"/>
    <n v="180"/>
    <n v="12.32"/>
    <x v="4"/>
    <x v="1"/>
    <x v="1"/>
    <n v="12452.85"/>
    <n v="1926537.32"/>
    <x v="0"/>
    <d v="2025-12-15T00:00:00"/>
  </r>
  <r>
    <s v="L00805"/>
    <s v="C10806"/>
    <x v="1"/>
    <n v="32"/>
    <s v="Single"/>
    <s v="Non Graduate"/>
    <x v="1"/>
    <n v="343847"/>
    <n v="699"/>
    <n v="1462588"/>
    <n v="60"/>
    <n v="13.98"/>
    <x v="1"/>
    <x v="1"/>
    <x v="1"/>
    <n v="27784.3"/>
    <n v="873392.35"/>
    <x v="0"/>
    <d v="2024-07-27T00:00:00"/>
  </r>
  <r>
    <s v="L00806"/>
    <s v="C10807"/>
    <x v="1"/>
    <n v="25"/>
    <s v="Single"/>
    <s v="Graduate"/>
    <x v="0"/>
    <n v="301289"/>
    <n v="720"/>
    <n v="688465"/>
    <n v="84"/>
    <n v="10.32"/>
    <x v="3"/>
    <x v="5"/>
    <x v="1"/>
    <n v="9041.84"/>
    <n v="150124.60999999999"/>
    <x v="0"/>
    <d v="2024-08-05T00:00:00"/>
  </r>
  <r>
    <s v="L00807"/>
    <s v="C10808"/>
    <x v="1"/>
    <n v="52"/>
    <s v="Married"/>
    <s v="Graduate"/>
    <x v="1"/>
    <n v="1323412"/>
    <n v="797"/>
    <n v="222884"/>
    <n v="36"/>
    <n v="14.39"/>
    <x v="2"/>
    <x v="4"/>
    <x v="0"/>
    <n v="7082.14"/>
    <n v="201219.99"/>
    <x v="0"/>
    <d v="2025-03-28T00:00:00"/>
  </r>
  <r>
    <s v="L00808"/>
    <s v="C10809"/>
    <x v="1"/>
    <n v="40"/>
    <s v="Single"/>
    <s v="Non Graduate"/>
    <x v="1"/>
    <n v="826063"/>
    <n v="719"/>
    <n v="518876"/>
    <n v="24"/>
    <n v="8.86"/>
    <x v="2"/>
    <x v="2"/>
    <x v="0"/>
    <n v="23535.35"/>
    <n v="420331.83"/>
    <x v="0"/>
    <d v="2025-02-28T00:00:00"/>
  </r>
  <r>
    <s v="L00809"/>
    <s v="C10810"/>
    <x v="1"/>
    <n v="42"/>
    <s v="Married"/>
    <s v="Non Graduate"/>
    <x v="1"/>
    <n v="1837066"/>
    <n v="550"/>
    <n v="1925029"/>
    <n v="48"/>
    <n v="10.09"/>
    <x v="0"/>
    <x v="3"/>
    <x v="1"/>
    <n v="44151.34"/>
    <n v="573779.12"/>
    <x v="0"/>
    <d v="2024-01-14T00:00:00"/>
  </r>
  <r>
    <s v="L00810"/>
    <s v="C10811"/>
    <x v="1"/>
    <n v="34"/>
    <s v="Single"/>
    <s v="Graduate"/>
    <x v="1"/>
    <n v="1277605"/>
    <n v="688"/>
    <n v="814453"/>
    <n v="60"/>
    <n v="10.27"/>
    <x v="2"/>
    <x v="0"/>
    <x v="0"/>
    <n v="14968.29"/>
    <n v="778921.34"/>
    <x v="0"/>
    <d v="2024-05-05T00:00:00"/>
  </r>
  <r>
    <s v="L00811"/>
    <s v="C10812"/>
    <x v="1"/>
    <n v="50"/>
    <s v="Married"/>
    <s v="Graduate"/>
    <x v="0"/>
    <n v="1424996"/>
    <n v="645"/>
    <n v="884464"/>
    <n v="12"/>
    <n v="15.07"/>
    <x v="4"/>
    <x v="4"/>
    <x v="0"/>
    <n v="84812.73"/>
    <n v="760523.16"/>
    <x v="0"/>
    <d v="2025-07-06T00:00:00"/>
  </r>
  <r>
    <s v="L00812"/>
    <s v="C10813"/>
    <x v="1"/>
    <n v="37"/>
    <s v="Married"/>
    <s v="Non Graduate"/>
    <x v="0"/>
    <n v="1615911"/>
    <n v="799"/>
    <n v="1846253"/>
    <n v="36"/>
    <n v="8.01"/>
    <x v="3"/>
    <x v="3"/>
    <x v="0"/>
    <n v="55392.72"/>
    <n v="1292635.46"/>
    <x v="0"/>
    <d v="2024-06-01T00:00:00"/>
  </r>
  <r>
    <s v="L00813"/>
    <s v="C10814"/>
    <x v="1"/>
    <n v="29"/>
    <s v="Married"/>
    <s v="Graduate"/>
    <x v="1"/>
    <n v="985299"/>
    <n v="725"/>
    <n v="1766824"/>
    <n v="84"/>
    <n v="12.72"/>
    <x v="1"/>
    <x v="4"/>
    <x v="0"/>
    <n v="23709.1"/>
    <n v="792246.72"/>
    <x v="0"/>
    <d v="2025-12-08T00:00:00"/>
  </r>
  <r>
    <s v="L00814"/>
    <s v="C10815"/>
    <x v="0"/>
    <n v="34"/>
    <s v="Single"/>
    <s v="Non Graduate"/>
    <x v="1"/>
    <n v="1896702"/>
    <n v="771"/>
    <n v="581629"/>
    <n v="120"/>
    <n v="11.44"/>
    <x v="0"/>
    <x v="1"/>
    <x v="0"/>
    <n v="5401.39"/>
    <n v="527150.19999999995"/>
    <x v="0"/>
    <d v="2024-10-28T00:00:00"/>
  </r>
  <r>
    <s v="L00815"/>
    <s v="C10816"/>
    <x v="1"/>
    <n v="59"/>
    <s v="Single"/>
    <s v="Graduate"/>
    <x v="0"/>
    <n v="1686384"/>
    <n v="593"/>
    <n v="429988"/>
    <n v="240"/>
    <n v="13.84"/>
    <x v="4"/>
    <x v="5"/>
    <x v="1"/>
    <n v="2039.58"/>
    <n v="104979.39"/>
    <x v="0"/>
    <d v="2024-09-13T00:00:00"/>
  </r>
  <r>
    <s v="L00816"/>
    <s v="C10817"/>
    <x v="0"/>
    <n v="54"/>
    <s v="Married"/>
    <s v="Non Graduate"/>
    <x v="1"/>
    <n v="726327"/>
    <n v="609"/>
    <n v="867769"/>
    <n v="24"/>
    <n v="14.89"/>
    <x v="4"/>
    <x v="0"/>
    <x v="0"/>
    <n v="41540.83"/>
    <n v="713367.47"/>
    <x v="1"/>
    <d v="2025-08-09T00:00:00"/>
  </r>
  <r>
    <s v="L00817"/>
    <s v="C10818"/>
    <x v="0"/>
    <n v="44"/>
    <s v="Single"/>
    <s v="Non Graduate"/>
    <x v="1"/>
    <n v="1789178"/>
    <n v="714"/>
    <n v="402476"/>
    <n v="180"/>
    <n v="7.54"/>
    <x v="1"/>
    <x v="2"/>
    <x v="0"/>
    <n v="2404.5700000000002"/>
    <n v="163944.49"/>
    <x v="0"/>
    <d v="2024-09-20T00:00:00"/>
  </r>
  <r>
    <s v="L00818"/>
    <s v="C10819"/>
    <x v="0"/>
    <n v="45"/>
    <s v="Single"/>
    <s v="Non Graduate"/>
    <x v="0"/>
    <n v="1678527"/>
    <n v="651"/>
    <n v="855524"/>
    <n v="60"/>
    <n v="11.52"/>
    <x v="2"/>
    <x v="4"/>
    <x v="0"/>
    <n v="15901.34"/>
    <n v="538388.43000000005"/>
    <x v="0"/>
    <d v="2025-09-17T00:00:00"/>
  </r>
  <r>
    <s v="L00819"/>
    <s v="C10820"/>
    <x v="1"/>
    <n v="30"/>
    <s v="Single"/>
    <s v="Non Graduate"/>
    <x v="1"/>
    <n v="1624807"/>
    <n v="638"/>
    <n v="1669525"/>
    <n v="12"/>
    <n v="15.3"/>
    <x v="1"/>
    <x v="3"/>
    <x v="0"/>
    <n v="160413.53"/>
    <n v="1249352.3500000001"/>
    <x v="0"/>
    <d v="2025-01-21T00:00:00"/>
  </r>
  <r>
    <s v="L00820"/>
    <s v="C10821"/>
    <x v="1"/>
    <n v="60"/>
    <s v="Married"/>
    <s v="Graduate"/>
    <x v="0"/>
    <n v="1001035"/>
    <n v="711"/>
    <n v="1841545"/>
    <n v="24"/>
    <n v="14.92"/>
    <x v="1"/>
    <x v="5"/>
    <x v="0"/>
    <n v="88179.31"/>
    <n v="1552422.39"/>
    <x v="0"/>
    <d v="2025-11-08T00:00:00"/>
  </r>
  <r>
    <s v="L00821"/>
    <s v="C10822"/>
    <x v="0"/>
    <n v="42"/>
    <s v="Married"/>
    <s v="Graduate"/>
    <x v="1"/>
    <n v="1173157"/>
    <n v="818"/>
    <n v="510478"/>
    <n v="240"/>
    <n v="8.27"/>
    <x v="3"/>
    <x v="2"/>
    <x v="0"/>
    <n v="2302.89"/>
    <n v="276739.21000000002"/>
    <x v="0"/>
    <d v="2025-11-18T00:00:00"/>
  </r>
  <r>
    <s v="L00822"/>
    <s v="C10823"/>
    <x v="0"/>
    <n v="31"/>
    <s v="Married"/>
    <s v="Graduate"/>
    <x v="0"/>
    <n v="696497"/>
    <n v="848"/>
    <n v="1830530"/>
    <n v="24"/>
    <n v="14.35"/>
    <x v="3"/>
    <x v="3"/>
    <x v="0"/>
    <n v="87217.13"/>
    <n v="1362630.28"/>
    <x v="0"/>
    <d v="2025-04-23T00:00:00"/>
  </r>
  <r>
    <s v="L00823"/>
    <s v="C10824"/>
    <x v="0"/>
    <n v="21"/>
    <s v="Married"/>
    <s v="Non Graduate"/>
    <x v="0"/>
    <n v="871684"/>
    <n v="593"/>
    <n v="1195566"/>
    <n v="60"/>
    <n v="14.26"/>
    <x v="1"/>
    <x v="3"/>
    <x v="0"/>
    <n v="22767.56"/>
    <n v="363142.41"/>
    <x v="0"/>
    <d v="2025-05-21T00:00:00"/>
  </r>
  <r>
    <s v="L00824"/>
    <s v="C10825"/>
    <x v="1"/>
    <n v="50"/>
    <s v="Married"/>
    <s v="Graduate"/>
    <x v="1"/>
    <n v="1342738"/>
    <n v="812"/>
    <n v="893844"/>
    <n v="84"/>
    <n v="13.65"/>
    <x v="0"/>
    <x v="1"/>
    <x v="0"/>
    <n v="12093.5"/>
    <n v="401404.03"/>
    <x v="0"/>
    <d v="2024-11-11T00:00:00"/>
  </r>
  <r>
    <s v="L00825"/>
    <s v="C10826"/>
    <x v="1"/>
    <n v="51"/>
    <s v="Married"/>
    <s v="Non Graduate"/>
    <x v="1"/>
    <n v="1856906"/>
    <n v="708"/>
    <n v="1533748"/>
    <n v="60"/>
    <n v="15.13"/>
    <x v="3"/>
    <x v="1"/>
    <x v="0"/>
    <n v="29430.07"/>
    <n v="1328716.1100000001"/>
    <x v="0"/>
    <d v="2024-06-07T00:00:00"/>
  </r>
  <r>
    <s v="L00826"/>
    <s v="C10827"/>
    <x v="0"/>
    <n v="28"/>
    <s v="Single"/>
    <s v="Graduate"/>
    <x v="0"/>
    <n v="1931447"/>
    <n v="566"/>
    <n v="101457"/>
    <n v="84"/>
    <n v="13.13"/>
    <x v="3"/>
    <x v="3"/>
    <x v="0"/>
    <n v="1366.41"/>
    <n v="60577.35"/>
    <x v="1"/>
    <d v="2025-09-01T00:00:00"/>
  </r>
  <r>
    <s v="L00827"/>
    <s v="C10828"/>
    <x v="1"/>
    <n v="22"/>
    <s v="Single"/>
    <s v="Non Graduate"/>
    <x v="1"/>
    <n v="996374"/>
    <n v="687"/>
    <n v="337174"/>
    <n v="36"/>
    <n v="9.36"/>
    <x v="1"/>
    <x v="1"/>
    <x v="0"/>
    <n v="10242.6"/>
    <n v="76307.95"/>
    <x v="0"/>
    <d v="2024-02-10T00:00:00"/>
  </r>
  <r>
    <s v="L00828"/>
    <s v="C10829"/>
    <x v="1"/>
    <n v="34"/>
    <s v="Single"/>
    <s v="Non Graduate"/>
    <x v="0"/>
    <n v="1422054"/>
    <n v="592"/>
    <n v="954572"/>
    <n v="12"/>
    <n v="10.94"/>
    <x v="3"/>
    <x v="2"/>
    <x v="0"/>
    <n v="88250.18"/>
    <n v="376099.62"/>
    <x v="0"/>
    <d v="2025-03-22T00:00:00"/>
  </r>
  <r>
    <s v="L00829"/>
    <s v="C10830"/>
    <x v="1"/>
    <n v="51"/>
    <s v="Single"/>
    <s v="Non Graduate"/>
    <x v="0"/>
    <n v="1305726"/>
    <n v="704"/>
    <n v="1961763"/>
    <n v="48"/>
    <n v="12.38"/>
    <x v="2"/>
    <x v="3"/>
    <x v="0"/>
    <n v="45929.78"/>
    <n v="630068.27"/>
    <x v="0"/>
    <d v="2025-10-30T00:00:00"/>
  </r>
  <r>
    <s v="L00830"/>
    <s v="C10831"/>
    <x v="0"/>
    <n v="53"/>
    <s v="Single"/>
    <s v="Graduate"/>
    <x v="1"/>
    <n v="1916593"/>
    <n v="608"/>
    <n v="165327"/>
    <n v="48"/>
    <n v="8.19"/>
    <x v="3"/>
    <x v="3"/>
    <x v="0"/>
    <n v="3726.4"/>
    <n v="71880.84"/>
    <x v="0"/>
    <d v="2024-10-06T00:00:00"/>
  </r>
  <r>
    <s v="L00831"/>
    <s v="C10832"/>
    <x v="0"/>
    <n v="52"/>
    <s v="Married"/>
    <s v="Non Graduate"/>
    <x v="1"/>
    <n v="1680504"/>
    <n v="590"/>
    <n v="1441256"/>
    <n v="240"/>
    <n v="7.99"/>
    <x v="0"/>
    <x v="3"/>
    <x v="1"/>
    <n v="6485.05"/>
    <n v="541640.91"/>
    <x v="0"/>
    <d v="2024-09-06T00:00:00"/>
  </r>
  <r>
    <s v="L00832"/>
    <s v="C10833"/>
    <x v="1"/>
    <n v="37"/>
    <s v="Single"/>
    <s v="Graduate"/>
    <x v="1"/>
    <n v="918769"/>
    <n v="643"/>
    <n v="1020064"/>
    <n v="84"/>
    <n v="9.6"/>
    <x v="2"/>
    <x v="4"/>
    <x v="0"/>
    <n v="13309.41"/>
    <n v="915358.08"/>
    <x v="0"/>
    <d v="2024-09-27T00:00:00"/>
  </r>
  <r>
    <s v="L00833"/>
    <s v="C10834"/>
    <x v="0"/>
    <n v="24"/>
    <s v="Single"/>
    <s v="Non Graduate"/>
    <x v="1"/>
    <n v="530580"/>
    <n v="630"/>
    <n v="810944"/>
    <n v="84"/>
    <n v="11.74"/>
    <x v="4"/>
    <x v="2"/>
    <x v="0"/>
    <n v="10787.49"/>
    <n v="159122.71"/>
    <x v="0"/>
    <d v="2025-03-16T00:00:00"/>
  </r>
  <r>
    <s v="L00834"/>
    <s v="C10835"/>
    <x v="0"/>
    <n v="32"/>
    <s v="Married"/>
    <s v="Non Graduate"/>
    <x v="1"/>
    <n v="373429"/>
    <n v="786"/>
    <n v="224412"/>
    <n v="36"/>
    <n v="13.86"/>
    <x v="3"/>
    <x v="5"/>
    <x v="1"/>
    <n v="7097.65"/>
    <n v="110959.19"/>
    <x v="0"/>
    <d v="2025-05-06T00:00:00"/>
  </r>
  <r>
    <s v="L00835"/>
    <s v="C10836"/>
    <x v="1"/>
    <n v="28"/>
    <s v="Married"/>
    <s v="Non Graduate"/>
    <x v="1"/>
    <n v="1698139"/>
    <n v="766"/>
    <n v="1546094"/>
    <n v="120"/>
    <n v="12.72"/>
    <x v="1"/>
    <x v="5"/>
    <x v="0"/>
    <n v="14522.98"/>
    <n v="1126425.06"/>
    <x v="0"/>
    <d v="2025-02-23T00:00:00"/>
  </r>
  <r>
    <s v="L00836"/>
    <s v="C10837"/>
    <x v="1"/>
    <n v="58"/>
    <s v="Single"/>
    <s v="Non Graduate"/>
    <x v="1"/>
    <n v="633441"/>
    <n v="654"/>
    <n v="1875256"/>
    <n v="60"/>
    <n v="10.53"/>
    <x v="3"/>
    <x v="3"/>
    <x v="0"/>
    <n v="34545.339999999997"/>
    <n v="351735.46"/>
    <x v="0"/>
    <d v="2025-10-25T00:00:00"/>
  </r>
  <r>
    <s v="L00837"/>
    <s v="C10838"/>
    <x v="1"/>
    <n v="52"/>
    <s v="Single"/>
    <s v="Graduate"/>
    <x v="1"/>
    <n v="1718611"/>
    <n v="810"/>
    <n v="949510"/>
    <n v="36"/>
    <n v="12.53"/>
    <x v="3"/>
    <x v="1"/>
    <x v="0"/>
    <n v="29680.1"/>
    <n v="505795.44"/>
    <x v="0"/>
    <d v="2024-02-05T00:00:00"/>
  </r>
  <r>
    <s v="L00838"/>
    <s v="C10839"/>
    <x v="0"/>
    <n v="37"/>
    <s v="Single"/>
    <s v="Graduate"/>
    <x v="0"/>
    <n v="1063880"/>
    <n v="584"/>
    <n v="1334107"/>
    <n v="84"/>
    <n v="12.3"/>
    <x v="3"/>
    <x v="0"/>
    <x v="1"/>
    <n v="17835.740000000002"/>
    <n v="325837.42"/>
    <x v="0"/>
    <d v="2025-01-23T00:00:00"/>
  </r>
  <r>
    <s v="L00839"/>
    <s v="C10840"/>
    <x v="1"/>
    <n v="33"/>
    <s v="Married"/>
    <s v="Non Graduate"/>
    <x v="0"/>
    <n v="717373"/>
    <n v="763"/>
    <n v="1662451"/>
    <n v="120"/>
    <n v="13.89"/>
    <x v="2"/>
    <x v="2"/>
    <x v="0"/>
    <n v="15778.05"/>
    <n v="771598.58"/>
    <x v="0"/>
    <d v="2025-04-09T00:00:00"/>
  </r>
  <r>
    <s v="L00840"/>
    <s v="C10841"/>
    <x v="1"/>
    <n v="30"/>
    <s v="Single"/>
    <s v="Graduate"/>
    <x v="1"/>
    <n v="678349"/>
    <n v="619"/>
    <n v="146303"/>
    <n v="36"/>
    <n v="7.68"/>
    <x v="3"/>
    <x v="1"/>
    <x v="0"/>
    <n v="4376.09"/>
    <n v="25866.33"/>
    <x v="0"/>
    <d v="2024-11-09T00:00:00"/>
  </r>
  <r>
    <s v="L00841"/>
    <s v="C10842"/>
    <x v="0"/>
    <n v="22"/>
    <s v="Single"/>
    <s v="Non Graduate"/>
    <x v="1"/>
    <n v="1936465"/>
    <n v="690"/>
    <n v="512817"/>
    <n v="60"/>
    <n v="8.8800000000000008"/>
    <x v="0"/>
    <x v="0"/>
    <x v="0"/>
    <n v="9305.92"/>
    <n v="329725.57"/>
    <x v="0"/>
    <d v="2025-12-26T00:00:00"/>
  </r>
  <r>
    <s v="L00842"/>
    <s v="C10843"/>
    <x v="0"/>
    <n v="46"/>
    <s v="Married"/>
    <s v="Non Graduate"/>
    <x v="1"/>
    <n v="1374637"/>
    <n v="833"/>
    <n v="1632737"/>
    <n v="120"/>
    <n v="13.36"/>
    <x v="3"/>
    <x v="2"/>
    <x v="0"/>
    <n v="15423.92"/>
    <n v="448770.74"/>
    <x v="0"/>
    <d v="2024-08-24T00:00:00"/>
  </r>
  <r>
    <s v="L00843"/>
    <s v="C10844"/>
    <x v="0"/>
    <n v="48"/>
    <s v="Single"/>
    <s v="Graduate"/>
    <x v="1"/>
    <n v="1507426"/>
    <n v="735"/>
    <n v="1481938"/>
    <n v="120"/>
    <n v="8.2100000000000009"/>
    <x v="4"/>
    <x v="2"/>
    <x v="0"/>
    <n v="13363.38"/>
    <n v="1024186.08"/>
    <x v="0"/>
    <d v="2025-04-29T00:00:00"/>
  </r>
  <r>
    <s v="L00844"/>
    <s v="C10845"/>
    <x v="1"/>
    <n v="60"/>
    <s v="Single"/>
    <s v="Graduate"/>
    <x v="1"/>
    <n v="602865"/>
    <n v="742"/>
    <n v="1212506"/>
    <n v="60"/>
    <n v="14.39"/>
    <x v="1"/>
    <x v="4"/>
    <x v="0"/>
    <n v="23116.43"/>
    <n v="634786.14"/>
    <x v="0"/>
    <d v="2024-12-26T00:00:00"/>
  </r>
  <r>
    <s v="L00845"/>
    <s v="C10846"/>
    <x v="1"/>
    <n v="29"/>
    <s v="Single"/>
    <s v="Graduate"/>
    <x v="0"/>
    <n v="1819889"/>
    <n v="794"/>
    <n v="1309844"/>
    <n v="84"/>
    <n v="9.39"/>
    <x v="3"/>
    <x v="5"/>
    <x v="0"/>
    <n v="17057.599999999999"/>
    <n v="874910.21"/>
    <x v="0"/>
    <d v="2024-08-03T00:00:00"/>
  </r>
  <r>
    <s v="L00846"/>
    <s v="C10847"/>
    <x v="1"/>
    <n v="59"/>
    <s v="Married"/>
    <s v="Graduate"/>
    <x v="0"/>
    <n v="515338"/>
    <n v="675"/>
    <n v="1355277"/>
    <n v="12"/>
    <n v="11.75"/>
    <x v="2"/>
    <x v="3"/>
    <x v="0"/>
    <n v="126210.17"/>
    <n v="750393.12"/>
    <x v="0"/>
    <d v="2025-12-07T00:00:00"/>
  </r>
  <r>
    <s v="L00847"/>
    <s v="C10848"/>
    <x v="0"/>
    <n v="52"/>
    <s v="Married"/>
    <s v="Non Graduate"/>
    <x v="1"/>
    <n v="1058339"/>
    <n v="666"/>
    <n v="1091176"/>
    <n v="36"/>
    <n v="9.6999999999999993"/>
    <x v="3"/>
    <x v="5"/>
    <x v="0"/>
    <n v="33250.559999999998"/>
    <n v="256663.54"/>
    <x v="0"/>
    <d v="2025-03-28T00:00:00"/>
  </r>
  <r>
    <s v="L00848"/>
    <s v="C10849"/>
    <x v="1"/>
    <n v="40"/>
    <s v="Married"/>
    <s v="Non Graduate"/>
    <x v="0"/>
    <n v="544395"/>
    <n v="576"/>
    <n v="146795"/>
    <n v="48"/>
    <n v="13.26"/>
    <x v="4"/>
    <x v="3"/>
    <x v="0"/>
    <n v="3463.75"/>
    <n v="29153.31"/>
    <x v="1"/>
    <d v="2025-10-02T00:00:00"/>
  </r>
  <r>
    <s v="L00849"/>
    <s v="C10850"/>
    <x v="0"/>
    <n v="39"/>
    <s v="Married"/>
    <s v="Non Graduate"/>
    <x v="1"/>
    <n v="1566399"/>
    <n v="699"/>
    <n v="1406843"/>
    <n v="180"/>
    <n v="14.17"/>
    <x v="1"/>
    <x v="5"/>
    <x v="0"/>
    <n v="8923.2900000000009"/>
    <n v="1060549"/>
    <x v="0"/>
    <d v="2024-06-09T00:00:00"/>
  </r>
  <r>
    <s v="L00850"/>
    <s v="C10851"/>
    <x v="0"/>
    <n v="29"/>
    <s v="Married"/>
    <s v="Non Graduate"/>
    <x v="1"/>
    <n v="542381"/>
    <n v="822"/>
    <n v="1127406"/>
    <n v="180"/>
    <n v="12.92"/>
    <x v="2"/>
    <x v="3"/>
    <x v="0"/>
    <n v="7072.59"/>
    <n v="946192.96"/>
    <x v="0"/>
    <d v="2024-12-08T00:00:00"/>
  </r>
  <r>
    <s v="L00851"/>
    <s v="C10852"/>
    <x v="1"/>
    <n v="37"/>
    <s v="Single"/>
    <s v="Graduate"/>
    <x v="0"/>
    <n v="1290452"/>
    <n v="816"/>
    <n v="920950"/>
    <n v="24"/>
    <n v="7.75"/>
    <x v="0"/>
    <x v="3"/>
    <x v="0"/>
    <n v="41346.82"/>
    <n v="908211.12"/>
    <x v="0"/>
    <d v="2025-09-25T00:00:00"/>
  </r>
  <r>
    <s v="L00852"/>
    <s v="C10853"/>
    <x v="1"/>
    <n v="58"/>
    <s v="Single"/>
    <s v="Non Graduate"/>
    <x v="1"/>
    <n v="1685807"/>
    <n v="621"/>
    <n v="1473653"/>
    <n v="84"/>
    <n v="13.68"/>
    <x v="3"/>
    <x v="1"/>
    <x v="0"/>
    <n v="19943.439999999999"/>
    <n v="417530.95"/>
    <x v="0"/>
    <d v="2025-01-22T00:00:00"/>
  </r>
  <r>
    <s v="L00853"/>
    <s v="C10854"/>
    <x v="1"/>
    <n v="44"/>
    <s v="Married"/>
    <s v="Graduate"/>
    <x v="0"/>
    <n v="380233"/>
    <n v="558"/>
    <n v="1067491"/>
    <n v="60"/>
    <n v="15.21"/>
    <x v="2"/>
    <x v="4"/>
    <x v="1"/>
    <n v="20497.61"/>
    <n v="135435.9"/>
    <x v="0"/>
    <d v="2024-06-07T00:00:00"/>
  </r>
  <r>
    <s v="L00854"/>
    <s v="C10855"/>
    <x v="1"/>
    <n v="21"/>
    <s v="Single"/>
    <s v="Non Graduate"/>
    <x v="1"/>
    <n v="1143598"/>
    <n v="727"/>
    <n v="1556317"/>
    <n v="60"/>
    <n v="9.8800000000000008"/>
    <x v="1"/>
    <x v="3"/>
    <x v="0"/>
    <n v="28501.35"/>
    <n v="734171.18"/>
    <x v="0"/>
    <d v="2025-08-06T00:00:00"/>
  </r>
  <r>
    <s v="L00855"/>
    <s v="C10856"/>
    <x v="1"/>
    <n v="48"/>
    <s v="Single"/>
    <s v="Non Graduate"/>
    <x v="1"/>
    <n v="489366"/>
    <n v="659"/>
    <n v="181417"/>
    <n v="180"/>
    <n v="9.19"/>
    <x v="2"/>
    <x v="5"/>
    <x v="0"/>
    <n v="1100.5"/>
    <n v="58618.6"/>
    <x v="0"/>
    <d v="2024-10-04T00:00:00"/>
  </r>
  <r>
    <s v="L00856"/>
    <s v="C10857"/>
    <x v="0"/>
    <n v="48"/>
    <s v="Married"/>
    <s v="Non Graduate"/>
    <x v="0"/>
    <n v="679291"/>
    <n v="718"/>
    <n v="802570"/>
    <n v="36"/>
    <n v="14.08"/>
    <x v="0"/>
    <x v="2"/>
    <x v="0"/>
    <n v="25432.55"/>
    <n v="164067.47"/>
    <x v="0"/>
    <d v="2024-02-08T00:00:00"/>
  </r>
  <r>
    <s v="L00857"/>
    <s v="C10858"/>
    <x v="1"/>
    <n v="38"/>
    <s v="Single"/>
    <s v="Non Graduate"/>
    <x v="0"/>
    <n v="1459239"/>
    <n v="799"/>
    <n v="1187213"/>
    <n v="120"/>
    <n v="9.07"/>
    <x v="3"/>
    <x v="2"/>
    <x v="0"/>
    <n v="10790.78"/>
    <n v="839756.1"/>
    <x v="0"/>
    <d v="2024-09-12T00:00:00"/>
  </r>
  <r>
    <s v="L00858"/>
    <s v="C10859"/>
    <x v="1"/>
    <n v="49"/>
    <s v="Single"/>
    <s v="Non Graduate"/>
    <x v="0"/>
    <n v="1586348"/>
    <n v="687"/>
    <n v="134753"/>
    <n v="180"/>
    <n v="9.52"/>
    <x v="0"/>
    <x v="2"/>
    <x v="0"/>
    <n v="819.9"/>
    <n v="20375.419999999998"/>
    <x v="0"/>
    <d v="2025-08-02T00:00:00"/>
  </r>
  <r>
    <s v="L00859"/>
    <s v="C10860"/>
    <x v="0"/>
    <n v="45"/>
    <s v="Single"/>
    <s v="Graduate"/>
    <x v="0"/>
    <n v="658163"/>
    <n v="667"/>
    <n v="1726376"/>
    <n v="12"/>
    <n v="9.75"/>
    <x v="4"/>
    <x v="3"/>
    <x v="0"/>
    <n v="157891.47"/>
    <n v="705418.8"/>
    <x v="0"/>
    <d v="2025-10-04T00:00:00"/>
  </r>
  <r>
    <s v="L00860"/>
    <s v="C10861"/>
    <x v="1"/>
    <n v="34"/>
    <s v="Single"/>
    <s v="Graduate"/>
    <x v="0"/>
    <n v="1600822"/>
    <n v="773"/>
    <n v="485367"/>
    <n v="84"/>
    <n v="14.29"/>
    <x v="3"/>
    <x v="2"/>
    <x v="0"/>
    <n v="6603.88"/>
    <n v="97026.02"/>
    <x v="0"/>
    <d v="2025-06-17T00:00:00"/>
  </r>
  <r>
    <s v="L00861"/>
    <s v="C10862"/>
    <x v="1"/>
    <n v="43"/>
    <s v="Married"/>
    <s v="Graduate"/>
    <x v="0"/>
    <n v="1834312"/>
    <n v="800"/>
    <n v="1580684"/>
    <n v="84"/>
    <n v="9.1300000000000008"/>
    <x v="0"/>
    <x v="3"/>
    <x v="0"/>
    <n v="20535.72"/>
    <n v="1099903.08"/>
    <x v="0"/>
    <d v="2024-10-09T00:00:00"/>
  </r>
  <r>
    <s v="L00862"/>
    <s v="C10863"/>
    <x v="0"/>
    <n v="45"/>
    <s v="Single"/>
    <s v="Graduate"/>
    <x v="0"/>
    <n v="1496598"/>
    <n v="716"/>
    <n v="1753986"/>
    <n v="84"/>
    <n v="13.74"/>
    <x v="0"/>
    <x v="0"/>
    <x v="0"/>
    <n v="23749.81"/>
    <n v="890478.4"/>
    <x v="0"/>
    <d v="2024-07-23T00:00:00"/>
  </r>
  <r>
    <s v="L00863"/>
    <s v="C10864"/>
    <x v="0"/>
    <n v="54"/>
    <s v="Single"/>
    <s v="Graduate"/>
    <x v="1"/>
    <n v="1374382"/>
    <n v="683"/>
    <n v="636432"/>
    <n v="120"/>
    <n v="9.7100000000000009"/>
    <x v="0"/>
    <x v="3"/>
    <x v="0"/>
    <n v="5818.58"/>
    <n v="468813.38"/>
    <x v="0"/>
    <d v="2024-04-11T00:00:00"/>
  </r>
  <r>
    <s v="L00864"/>
    <s v="C10865"/>
    <x v="0"/>
    <n v="51"/>
    <s v="Single"/>
    <s v="Non Graduate"/>
    <x v="1"/>
    <n v="1768550"/>
    <n v="734"/>
    <n v="544045"/>
    <n v="84"/>
    <n v="9.3000000000000007"/>
    <x v="0"/>
    <x v="2"/>
    <x v="0"/>
    <n v="7079.06"/>
    <n v="373978.32"/>
    <x v="0"/>
    <d v="2025-11-28T00:00:00"/>
  </r>
  <r>
    <s v="L00865"/>
    <s v="C10866"/>
    <x v="1"/>
    <n v="56"/>
    <s v="Married"/>
    <s v="Non Graduate"/>
    <x v="1"/>
    <n v="1825598"/>
    <n v="698"/>
    <n v="1687805"/>
    <n v="240"/>
    <n v="8.66"/>
    <x v="4"/>
    <x v="3"/>
    <x v="0"/>
    <n v="7641.54"/>
    <n v="1399997.79"/>
    <x v="0"/>
    <d v="2025-09-27T00:00:00"/>
  </r>
  <r>
    <s v="L00866"/>
    <s v="C10867"/>
    <x v="0"/>
    <n v="29"/>
    <s v="Single"/>
    <s v="Non Graduate"/>
    <x v="1"/>
    <n v="977882"/>
    <n v="841"/>
    <n v="1702283"/>
    <n v="60"/>
    <n v="8.93"/>
    <x v="2"/>
    <x v="4"/>
    <x v="0"/>
    <n v="30904.95"/>
    <n v="779278.78"/>
    <x v="0"/>
    <d v="2025-01-06T00:00:00"/>
  </r>
  <r>
    <s v="L00867"/>
    <s v="C10868"/>
    <x v="0"/>
    <n v="59"/>
    <s v="Married"/>
    <s v="Graduate"/>
    <x v="1"/>
    <n v="379376"/>
    <n v="585"/>
    <n v="1553997"/>
    <n v="48"/>
    <n v="13.83"/>
    <x v="0"/>
    <x v="4"/>
    <x v="0"/>
    <n v="36852.39"/>
    <n v="351352.49"/>
    <x v="1"/>
    <d v="2024-01-31T00:00:00"/>
  </r>
  <r>
    <s v="L00868"/>
    <s v="C10869"/>
    <x v="0"/>
    <n v="46"/>
    <s v="Single"/>
    <s v="Graduate"/>
    <x v="0"/>
    <n v="1834781"/>
    <n v="736"/>
    <n v="1386692"/>
    <n v="24"/>
    <n v="8.39"/>
    <x v="0"/>
    <x v="5"/>
    <x v="0"/>
    <n v="62626.48"/>
    <n v="774992.56"/>
    <x v="0"/>
    <d v="2024-10-16T00:00:00"/>
  </r>
  <r>
    <s v="L00869"/>
    <s v="C10870"/>
    <x v="0"/>
    <n v="50"/>
    <s v="Married"/>
    <s v="Graduate"/>
    <x v="0"/>
    <n v="1494611"/>
    <n v="646"/>
    <n v="920446"/>
    <n v="36"/>
    <n v="15.05"/>
    <x v="3"/>
    <x v="0"/>
    <x v="1"/>
    <n v="29415.919999999998"/>
    <n v="714590.42"/>
    <x v="0"/>
    <d v="2025-04-16T00:00:00"/>
  </r>
  <r>
    <s v="L00870"/>
    <s v="C10871"/>
    <x v="0"/>
    <n v="23"/>
    <s v="Married"/>
    <s v="Non Graduate"/>
    <x v="1"/>
    <n v="951335"/>
    <n v="640"/>
    <n v="489786"/>
    <n v="120"/>
    <n v="12.77"/>
    <x v="3"/>
    <x v="2"/>
    <x v="1"/>
    <n v="4602.76"/>
    <n v="244595.42"/>
    <x v="0"/>
    <d v="2024-07-20T00:00:00"/>
  </r>
  <r>
    <s v="L00871"/>
    <s v="C10872"/>
    <x v="0"/>
    <n v="35"/>
    <s v="Married"/>
    <s v="Graduate"/>
    <x v="0"/>
    <n v="328040"/>
    <n v="835"/>
    <n v="1451972"/>
    <n v="48"/>
    <n v="9.07"/>
    <x v="1"/>
    <x v="4"/>
    <x v="1"/>
    <n v="32993.040000000001"/>
    <n v="1099219.3999999999"/>
    <x v="0"/>
    <d v="2024-09-03T00:00:00"/>
  </r>
  <r>
    <s v="L00872"/>
    <s v="C10873"/>
    <x v="1"/>
    <n v="46"/>
    <s v="Single"/>
    <s v="Non Graduate"/>
    <x v="1"/>
    <n v="996629"/>
    <n v="679"/>
    <n v="218733"/>
    <n v="120"/>
    <n v="12.13"/>
    <x v="4"/>
    <x v="1"/>
    <x v="0"/>
    <n v="2043.88"/>
    <n v="28778.959999999999"/>
    <x v="0"/>
    <d v="2025-07-30T00:00:00"/>
  </r>
  <r>
    <s v="L00873"/>
    <s v="C10874"/>
    <x v="1"/>
    <n v="54"/>
    <s v="Single"/>
    <s v="Non Graduate"/>
    <x v="1"/>
    <n v="469192"/>
    <n v="833"/>
    <n v="631147"/>
    <n v="12"/>
    <n v="8.65"/>
    <x v="0"/>
    <x v="2"/>
    <x v="0"/>
    <n v="57145.1"/>
    <n v="161032.38"/>
    <x v="0"/>
    <d v="2025-11-16T00:00:00"/>
  </r>
  <r>
    <s v="L00874"/>
    <s v="C10875"/>
    <x v="0"/>
    <n v="45"/>
    <s v="Single"/>
    <s v="Non Graduate"/>
    <x v="1"/>
    <n v="1273410"/>
    <n v="733"/>
    <n v="703782"/>
    <n v="180"/>
    <n v="9.42"/>
    <x v="2"/>
    <x v="2"/>
    <x v="0"/>
    <n v="4278.21"/>
    <n v="186622.52"/>
    <x v="0"/>
    <d v="2024-04-26T00:00:00"/>
  </r>
  <r>
    <s v="L00875"/>
    <s v="C10876"/>
    <x v="1"/>
    <n v="33"/>
    <s v="Married"/>
    <s v="Graduate"/>
    <x v="1"/>
    <n v="1992400"/>
    <n v="778"/>
    <n v="1361048"/>
    <n v="120"/>
    <n v="9.9"/>
    <x v="3"/>
    <x v="0"/>
    <x v="0"/>
    <n v="12464.93"/>
    <n v="1072583.23"/>
    <x v="0"/>
    <d v="2025-06-16T00:00:00"/>
  </r>
  <r>
    <s v="L00876"/>
    <s v="C10877"/>
    <x v="0"/>
    <n v="38"/>
    <s v="Single"/>
    <s v="Graduate"/>
    <x v="1"/>
    <n v="410248"/>
    <n v="589"/>
    <n v="1751598"/>
    <n v="36"/>
    <n v="7.53"/>
    <x v="2"/>
    <x v="5"/>
    <x v="0"/>
    <n v="52319.26"/>
    <n v="1092097.67"/>
    <x v="0"/>
    <d v="2025-09-04T00:00:00"/>
  </r>
  <r>
    <s v="L00877"/>
    <s v="C10878"/>
    <x v="1"/>
    <n v="57"/>
    <s v="Married"/>
    <s v="Graduate"/>
    <x v="0"/>
    <n v="777890"/>
    <n v="789"/>
    <n v="406975"/>
    <n v="180"/>
    <n v="12.54"/>
    <x v="3"/>
    <x v="2"/>
    <x v="0"/>
    <n v="2544.5"/>
    <n v="100099.7"/>
    <x v="0"/>
    <d v="2025-01-18T00:00:00"/>
  </r>
  <r>
    <s v="L00878"/>
    <s v="C10879"/>
    <x v="1"/>
    <n v="55"/>
    <s v="Single"/>
    <s v="Non Graduate"/>
    <x v="0"/>
    <n v="1872161"/>
    <n v="771"/>
    <n v="301373"/>
    <n v="240"/>
    <n v="14.39"/>
    <x v="2"/>
    <x v="5"/>
    <x v="0"/>
    <n v="1436.42"/>
    <n v="271268.63"/>
    <x v="0"/>
    <d v="2025-12-04T00:00:00"/>
  </r>
  <r>
    <s v="L00879"/>
    <s v="C10880"/>
    <x v="1"/>
    <n v="31"/>
    <s v="Single"/>
    <s v="Non Graduate"/>
    <x v="1"/>
    <n v="1117649"/>
    <n v="730"/>
    <n v="1951580"/>
    <n v="84"/>
    <n v="8.43"/>
    <x v="1"/>
    <x v="3"/>
    <x v="0"/>
    <n v="25191.65"/>
    <n v="1655507.77"/>
    <x v="0"/>
    <d v="2025-04-05T00:00:00"/>
  </r>
  <r>
    <s v="L00880"/>
    <s v="C10881"/>
    <x v="1"/>
    <n v="34"/>
    <s v="Married"/>
    <s v="Non Graduate"/>
    <x v="0"/>
    <n v="1008370"/>
    <n v="828"/>
    <n v="526101"/>
    <n v="48"/>
    <n v="10.44"/>
    <x v="2"/>
    <x v="3"/>
    <x v="0"/>
    <n v="12104.71"/>
    <n v="300450.09999999998"/>
    <x v="0"/>
    <d v="2025-09-17T00:00:00"/>
  </r>
  <r>
    <s v="L00881"/>
    <s v="C10882"/>
    <x v="1"/>
    <n v="34"/>
    <s v="Married"/>
    <s v="Non Graduate"/>
    <x v="0"/>
    <n v="1710630"/>
    <n v="786"/>
    <n v="263253"/>
    <n v="84"/>
    <n v="9.83"/>
    <x v="1"/>
    <x v="0"/>
    <x v="0"/>
    <n v="3442.03"/>
    <n v="67949.23"/>
    <x v="0"/>
    <d v="2024-06-27T00:00:00"/>
  </r>
  <r>
    <s v="L00882"/>
    <s v="C10883"/>
    <x v="1"/>
    <n v="51"/>
    <s v="Single"/>
    <s v="Non Graduate"/>
    <x v="1"/>
    <n v="1223059"/>
    <n v="849"/>
    <n v="1250506"/>
    <n v="48"/>
    <n v="13.91"/>
    <x v="2"/>
    <x v="0"/>
    <x v="0"/>
    <n v="29676.07"/>
    <n v="1079860.27"/>
    <x v="0"/>
    <d v="2024-11-09T00:00:00"/>
  </r>
  <r>
    <s v="L00883"/>
    <s v="C10884"/>
    <x v="0"/>
    <n v="21"/>
    <s v="Married"/>
    <s v="Non Graduate"/>
    <x v="0"/>
    <n v="891792"/>
    <n v="649"/>
    <n v="1414971"/>
    <n v="180"/>
    <n v="7.54"/>
    <x v="3"/>
    <x v="1"/>
    <x v="0"/>
    <n v="8453.67"/>
    <n v="545397.80000000005"/>
    <x v="0"/>
    <d v="2025-08-04T00:00:00"/>
  </r>
  <r>
    <s v="L00884"/>
    <s v="C10885"/>
    <x v="1"/>
    <n v="40"/>
    <s v="Married"/>
    <s v="Graduate"/>
    <x v="0"/>
    <n v="804062"/>
    <n v="826"/>
    <n v="1981431"/>
    <n v="60"/>
    <n v="13.96"/>
    <x v="4"/>
    <x v="5"/>
    <x v="0"/>
    <n v="37633.980000000003"/>
    <n v="691032.6"/>
    <x v="0"/>
    <d v="2024-03-20T00:00:00"/>
  </r>
  <r>
    <s v="L00885"/>
    <s v="C10886"/>
    <x v="0"/>
    <n v="36"/>
    <s v="Married"/>
    <s v="Graduate"/>
    <x v="1"/>
    <n v="1168574"/>
    <n v="620"/>
    <n v="270616"/>
    <n v="36"/>
    <n v="12.38"/>
    <x v="0"/>
    <x v="3"/>
    <x v="0"/>
    <n v="8447.73"/>
    <n v="93280.56"/>
    <x v="0"/>
    <d v="2024-06-12T00:00:00"/>
  </r>
  <r>
    <s v="L00886"/>
    <s v="C10887"/>
    <x v="0"/>
    <n v="43"/>
    <s v="Single"/>
    <s v="Non Graduate"/>
    <x v="0"/>
    <n v="1814494"/>
    <n v="824"/>
    <n v="1852726"/>
    <n v="24"/>
    <n v="15.32"/>
    <x v="4"/>
    <x v="5"/>
    <x v="0"/>
    <n v="89023.48"/>
    <n v="720917.03"/>
    <x v="0"/>
    <d v="2025-10-06T00:00:00"/>
  </r>
  <r>
    <s v="L00887"/>
    <s v="C10888"/>
    <x v="1"/>
    <n v="22"/>
    <s v="Married"/>
    <s v="Non Graduate"/>
    <x v="1"/>
    <n v="1028100"/>
    <n v="647"/>
    <n v="160629"/>
    <n v="240"/>
    <n v="11.54"/>
    <x v="4"/>
    <x v="1"/>
    <x v="0"/>
    <n v="746.52"/>
    <n v="100313.05"/>
    <x v="0"/>
    <d v="2025-01-04T00:00:00"/>
  </r>
  <r>
    <s v="L00888"/>
    <s v="C10889"/>
    <x v="1"/>
    <n v="36"/>
    <s v="Married"/>
    <s v="Non Graduate"/>
    <x v="1"/>
    <n v="552646"/>
    <n v="827"/>
    <n v="713312"/>
    <n v="84"/>
    <n v="12.54"/>
    <x v="3"/>
    <x v="4"/>
    <x v="0"/>
    <n v="9556.68"/>
    <n v="513261.51"/>
    <x v="0"/>
    <d v="2024-11-21T00:00:00"/>
  </r>
  <r>
    <s v="L00889"/>
    <s v="C10890"/>
    <x v="1"/>
    <n v="57"/>
    <s v="Single"/>
    <s v="Non Graduate"/>
    <x v="1"/>
    <n v="435265"/>
    <n v="718"/>
    <n v="974422"/>
    <n v="24"/>
    <n v="12.76"/>
    <x v="3"/>
    <x v="4"/>
    <x v="0"/>
    <n v="45781.59"/>
    <n v="348347.64"/>
    <x v="0"/>
    <d v="2024-03-30T00:00:00"/>
  </r>
  <r>
    <s v="L00890"/>
    <s v="C10891"/>
    <x v="1"/>
    <n v="52"/>
    <s v="Single"/>
    <s v="Non Graduate"/>
    <x v="1"/>
    <n v="1237188"/>
    <n v="742"/>
    <n v="1892923"/>
    <n v="48"/>
    <n v="13.07"/>
    <x v="1"/>
    <x v="1"/>
    <x v="0"/>
    <n v="44590.17"/>
    <n v="1653467.87"/>
    <x v="0"/>
    <d v="2025-01-19T00:00:00"/>
  </r>
  <r>
    <s v="L00891"/>
    <s v="C10892"/>
    <x v="0"/>
    <n v="53"/>
    <s v="Single"/>
    <s v="Non Graduate"/>
    <x v="0"/>
    <n v="1268616"/>
    <n v="615"/>
    <n v="1147160"/>
    <n v="48"/>
    <n v="9.74"/>
    <x v="1"/>
    <x v="0"/>
    <x v="0"/>
    <n v="26226.95"/>
    <n v="555541.41"/>
    <x v="0"/>
    <d v="2024-05-24T00:00:00"/>
  </r>
  <r>
    <s v="L00892"/>
    <s v="C10893"/>
    <x v="0"/>
    <n v="37"/>
    <s v="Single"/>
    <s v="Non Graduate"/>
    <x v="1"/>
    <n v="1008164"/>
    <n v="714"/>
    <n v="1637251"/>
    <n v="24"/>
    <n v="14.83"/>
    <x v="1"/>
    <x v="4"/>
    <x v="0"/>
    <n v="78335.64"/>
    <n v="1480228.51"/>
    <x v="0"/>
    <d v="2025-09-08T00:00:00"/>
  </r>
  <r>
    <s v="L00893"/>
    <s v="C10894"/>
    <x v="1"/>
    <n v="38"/>
    <s v="Single"/>
    <s v="Graduate"/>
    <x v="1"/>
    <n v="1618824"/>
    <n v="596"/>
    <n v="1789252"/>
    <n v="48"/>
    <n v="9.34"/>
    <x v="2"/>
    <x v="1"/>
    <x v="0"/>
    <n v="40757.67"/>
    <n v="624766.22"/>
    <x v="1"/>
    <d v="2024-08-23T00:00:00"/>
  </r>
  <r>
    <s v="L00894"/>
    <s v="C10895"/>
    <x v="1"/>
    <n v="36"/>
    <s v="Single"/>
    <s v="Graduate"/>
    <x v="1"/>
    <n v="1015124"/>
    <n v="605"/>
    <n v="617624"/>
    <n v="36"/>
    <n v="10.74"/>
    <x v="3"/>
    <x v="0"/>
    <x v="1"/>
    <n v="18998.8"/>
    <n v="186552.46"/>
    <x v="0"/>
    <d v="2025-08-08T00:00:00"/>
  </r>
  <r>
    <s v="L00895"/>
    <s v="C10896"/>
    <x v="1"/>
    <n v="22"/>
    <s v="Single"/>
    <s v="Graduate"/>
    <x v="1"/>
    <n v="1174381"/>
    <n v="669"/>
    <n v="104606"/>
    <n v="84"/>
    <n v="13.92"/>
    <x v="1"/>
    <x v="3"/>
    <x v="0"/>
    <n v="1418.66"/>
    <n v="79783.25"/>
    <x v="0"/>
    <d v="2024-06-29T00:00:00"/>
  </r>
  <r>
    <s v="L00896"/>
    <s v="C10897"/>
    <x v="1"/>
    <n v="37"/>
    <s v="Single"/>
    <s v="Non Graduate"/>
    <x v="0"/>
    <n v="425481"/>
    <n v="644"/>
    <n v="1629731"/>
    <n v="48"/>
    <n v="14.63"/>
    <x v="0"/>
    <x v="2"/>
    <x v="1"/>
    <n v="38920.01"/>
    <n v="1198512.07"/>
    <x v="0"/>
    <d v="2024-10-03T00:00:00"/>
  </r>
  <r>
    <s v="L00897"/>
    <s v="C10898"/>
    <x v="1"/>
    <n v="58"/>
    <s v="Single"/>
    <s v="Non Graduate"/>
    <x v="1"/>
    <n v="1083231"/>
    <n v="758"/>
    <n v="1723634"/>
    <n v="36"/>
    <n v="14.1"/>
    <x v="3"/>
    <x v="1"/>
    <x v="0"/>
    <n v="54629.62"/>
    <n v="1709397.16"/>
    <x v="0"/>
    <d v="2025-07-14T00:00:00"/>
  </r>
  <r>
    <s v="L00898"/>
    <s v="C10899"/>
    <x v="0"/>
    <n v="47"/>
    <s v="Married"/>
    <s v="Non Graduate"/>
    <x v="0"/>
    <n v="1986202"/>
    <n v="743"/>
    <n v="388886"/>
    <n v="12"/>
    <n v="13.38"/>
    <x v="2"/>
    <x v="1"/>
    <x v="0"/>
    <n v="36743.25"/>
    <n v="64303.11"/>
    <x v="0"/>
    <d v="2025-05-05T00:00:00"/>
  </r>
  <r>
    <s v="L00899"/>
    <s v="C10900"/>
    <x v="1"/>
    <n v="23"/>
    <s v="Single"/>
    <s v="Graduate"/>
    <x v="0"/>
    <n v="515244"/>
    <n v="744"/>
    <n v="1855112"/>
    <n v="48"/>
    <n v="14.09"/>
    <x v="3"/>
    <x v="3"/>
    <x v="0"/>
    <n v="44093.69"/>
    <n v="889808.58"/>
    <x v="0"/>
    <d v="2025-09-01T00:00:00"/>
  </r>
  <r>
    <s v="L00900"/>
    <s v="C10901"/>
    <x v="1"/>
    <n v="40"/>
    <s v="Single"/>
    <s v="Graduate"/>
    <x v="1"/>
    <n v="1028321"/>
    <n v="726"/>
    <n v="1557842"/>
    <n v="120"/>
    <n v="8.36"/>
    <x v="0"/>
    <x v="2"/>
    <x v="0"/>
    <n v="14067.31"/>
    <n v="824341.2"/>
    <x v="0"/>
    <d v="2024-11-02T00:00:00"/>
  </r>
  <r>
    <s v="L00901"/>
    <s v="C10902"/>
    <x v="0"/>
    <n v="39"/>
    <s v="Married"/>
    <s v="Graduate"/>
    <x v="0"/>
    <n v="582899"/>
    <n v="561"/>
    <n v="866312"/>
    <n v="12"/>
    <n v="11.94"/>
    <x v="2"/>
    <x v="0"/>
    <x v="1"/>
    <n v="80812.47"/>
    <n v="473992.38"/>
    <x v="0"/>
    <d v="2025-08-10T00:00:00"/>
  </r>
  <r>
    <s v="L00902"/>
    <s v="C10903"/>
    <x v="1"/>
    <n v="42"/>
    <s v="Married"/>
    <s v="Graduate"/>
    <x v="1"/>
    <n v="1836974"/>
    <n v="660"/>
    <n v="541171"/>
    <n v="240"/>
    <n v="10.08"/>
    <x v="4"/>
    <x v="1"/>
    <x v="0"/>
    <n v="2482.17"/>
    <n v="321994.44"/>
    <x v="0"/>
    <d v="2025-06-05T00:00:00"/>
  </r>
  <r>
    <s v="L00903"/>
    <s v="C10904"/>
    <x v="1"/>
    <n v="59"/>
    <s v="Single"/>
    <s v="Non Graduate"/>
    <x v="1"/>
    <n v="1283681"/>
    <n v="786"/>
    <n v="994788"/>
    <n v="180"/>
    <n v="13"/>
    <x v="1"/>
    <x v="5"/>
    <x v="0"/>
    <n v="6245.06"/>
    <n v="893122.33"/>
    <x v="0"/>
    <d v="2024-02-15T00:00:00"/>
  </r>
  <r>
    <s v="L00904"/>
    <s v="C10905"/>
    <x v="1"/>
    <n v="50"/>
    <s v="Married"/>
    <s v="Graduate"/>
    <x v="0"/>
    <n v="1692447"/>
    <n v="598"/>
    <n v="897929"/>
    <n v="120"/>
    <n v="11.51"/>
    <x v="2"/>
    <x v="1"/>
    <x v="1"/>
    <n v="8344.01"/>
    <n v="422327.61"/>
    <x v="0"/>
    <d v="2024-03-31T00:00:00"/>
  </r>
  <r>
    <s v="L00905"/>
    <s v="C10906"/>
    <x v="0"/>
    <n v="44"/>
    <s v="Single"/>
    <s v="Graduate"/>
    <x v="0"/>
    <n v="1215818"/>
    <n v="769"/>
    <n v="765713"/>
    <n v="180"/>
    <n v="10.68"/>
    <x v="2"/>
    <x v="0"/>
    <x v="0"/>
    <n v="4708.28"/>
    <n v="146323.26999999999"/>
    <x v="0"/>
    <d v="2024-05-04T00:00:00"/>
  </r>
  <r>
    <s v="L00906"/>
    <s v="C10907"/>
    <x v="1"/>
    <n v="31"/>
    <s v="Single"/>
    <s v="Graduate"/>
    <x v="0"/>
    <n v="1831104"/>
    <n v="670"/>
    <n v="1958725"/>
    <n v="84"/>
    <n v="8.24"/>
    <x v="1"/>
    <x v="5"/>
    <x v="0"/>
    <n v="25239.57"/>
    <n v="1515639.77"/>
    <x v="0"/>
    <d v="2024-10-11T00:00:00"/>
  </r>
  <r>
    <s v="L00907"/>
    <s v="C10908"/>
    <x v="0"/>
    <n v="40"/>
    <s v="Single"/>
    <s v="Graduate"/>
    <x v="1"/>
    <n v="1130361"/>
    <n v="786"/>
    <n v="822039"/>
    <n v="12"/>
    <n v="9.0299999999999994"/>
    <x v="0"/>
    <x v="1"/>
    <x v="0"/>
    <n v="74689.09"/>
    <n v="598594.93000000005"/>
    <x v="0"/>
    <d v="2024-06-24T00:00:00"/>
  </r>
  <r>
    <s v="L00908"/>
    <s v="C10909"/>
    <x v="1"/>
    <n v="41"/>
    <s v="Single"/>
    <s v="Graduate"/>
    <x v="0"/>
    <n v="1539260"/>
    <n v="559"/>
    <n v="167607"/>
    <n v="180"/>
    <n v="13.51"/>
    <x v="2"/>
    <x v="3"/>
    <x v="0"/>
    <n v="1056.95"/>
    <n v="68941.19"/>
    <x v="0"/>
    <d v="2025-10-22T00:00:00"/>
  </r>
  <r>
    <s v="L00909"/>
    <s v="C10910"/>
    <x v="0"/>
    <n v="40"/>
    <s v="Married"/>
    <s v="Graduate"/>
    <x v="1"/>
    <n v="1077116"/>
    <n v="792"/>
    <n v="1443913"/>
    <n v="36"/>
    <n v="7.62"/>
    <x v="2"/>
    <x v="3"/>
    <x v="0"/>
    <n v="43164.98"/>
    <n v="238812.62"/>
    <x v="0"/>
    <d v="2025-08-19T00:00:00"/>
  </r>
  <r>
    <s v="L00910"/>
    <s v="C10911"/>
    <x v="0"/>
    <n v="46"/>
    <s v="Single"/>
    <s v="Non Graduate"/>
    <x v="1"/>
    <n v="1790373"/>
    <n v="741"/>
    <n v="1085208"/>
    <n v="84"/>
    <n v="10.050000000000001"/>
    <x v="1"/>
    <x v="3"/>
    <x v="0"/>
    <n v="14217.52"/>
    <n v="934213.77"/>
    <x v="0"/>
    <d v="2025-06-23T00:00:00"/>
  </r>
  <r>
    <s v="L00911"/>
    <s v="C10912"/>
    <x v="0"/>
    <n v="24"/>
    <s v="Single"/>
    <s v="Graduate"/>
    <x v="1"/>
    <n v="894831"/>
    <n v="814"/>
    <n v="1923126"/>
    <n v="48"/>
    <n v="11.87"/>
    <x v="0"/>
    <x v="3"/>
    <x v="0"/>
    <n v="44820.86"/>
    <n v="1891728.48"/>
    <x v="0"/>
    <d v="2025-05-14T00:00:00"/>
  </r>
  <r>
    <s v="L00912"/>
    <s v="C10913"/>
    <x v="0"/>
    <n v="56"/>
    <s v="Single"/>
    <s v="Graduate"/>
    <x v="1"/>
    <n v="758378"/>
    <n v="827"/>
    <n v="924813"/>
    <n v="12"/>
    <n v="11.96"/>
    <x v="3"/>
    <x v="1"/>
    <x v="0"/>
    <n v="86285.05"/>
    <n v="526532.64"/>
    <x v="0"/>
    <d v="2024-12-18T00:00:00"/>
  </r>
  <r>
    <s v="L00913"/>
    <s v="C10914"/>
    <x v="1"/>
    <n v="49"/>
    <s v="Single"/>
    <s v="Non Graduate"/>
    <x v="0"/>
    <n v="305625"/>
    <n v="846"/>
    <n v="319849"/>
    <n v="120"/>
    <n v="12.73"/>
    <x v="0"/>
    <x v="1"/>
    <x v="1"/>
    <n v="3004.71"/>
    <n v="143483.46"/>
    <x v="0"/>
    <d v="2025-04-19T00:00:00"/>
  </r>
  <r>
    <s v="L00914"/>
    <s v="C10915"/>
    <x v="0"/>
    <n v="27"/>
    <s v="Single"/>
    <s v="Graduate"/>
    <x v="0"/>
    <n v="1906459"/>
    <n v="583"/>
    <n v="472063"/>
    <n v="24"/>
    <n v="11.43"/>
    <x v="3"/>
    <x v="0"/>
    <x v="1"/>
    <n v="21917.49"/>
    <n v="343569.29"/>
    <x v="0"/>
    <d v="2024-02-04T00:00:00"/>
  </r>
  <r>
    <s v="L00915"/>
    <s v="C10916"/>
    <x v="1"/>
    <n v="47"/>
    <s v="Married"/>
    <s v="Graduate"/>
    <x v="0"/>
    <n v="384711"/>
    <n v="812"/>
    <n v="1368959"/>
    <n v="60"/>
    <n v="7.59"/>
    <x v="3"/>
    <x v="2"/>
    <x v="0"/>
    <n v="24547.72"/>
    <n v="427261.77"/>
    <x v="0"/>
    <d v="2025-11-16T00:00:00"/>
  </r>
  <r>
    <s v="L00916"/>
    <s v="C10917"/>
    <x v="0"/>
    <n v="33"/>
    <s v="Married"/>
    <s v="Graduate"/>
    <x v="1"/>
    <n v="1205428"/>
    <n v="742"/>
    <n v="720469"/>
    <n v="180"/>
    <n v="14.32"/>
    <x v="2"/>
    <x v="2"/>
    <x v="0"/>
    <n v="4575.78"/>
    <n v="302679.2"/>
    <x v="0"/>
    <d v="2024-03-14T00:00:00"/>
  </r>
  <r>
    <s v="L00917"/>
    <s v="C10918"/>
    <x v="0"/>
    <n v="53"/>
    <s v="Married"/>
    <s v="Graduate"/>
    <x v="1"/>
    <n v="835073"/>
    <n v="629"/>
    <n v="1529288"/>
    <n v="60"/>
    <n v="10.44"/>
    <x v="3"/>
    <x v="4"/>
    <x v="1"/>
    <n v="28149.09"/>
    <n v="1518162.21"/>
    <x v="0"/>
    <d v="2025-10-20T00:00:00"/>
  </r>
  <r>
    <s v="L00918"/>
    <s v="C10919"/>
    <x v="0"/>
    <n v="59"/>
    <s v="Married"/>
    <s v="Graduate"/>
    <x v="0"/>
    <n v="1025836"/>
    <n v="751"/>
    <n v="1944996"/>
    <n v="12"/>
    <n v="8.65"/>
    <x v="2"/>
    <x v="5"/>
    <x v="0"/>
    <n v="176103.18"/>
    <n v="1479729.42"/>
    <x v="0"/>
    <d v="2025-11-07T00:00:00"/>
  </r>
  <r>
    <s v="L00919"/>
    <s v="C10920"/>
    <x v="0"/>
    <n v="43"/>
    <s v="Single"/>
    <s v="Non Graduate"/>
    <x v="0"/>
    <n v="1413569"/>
    <n v="828"/>
    <n v="1778443"/>
    <n v="12"/>
    <n v="10.029999999999999"/>
    <x v="0"/>
    <x v="0"/>
    <x v="0"/>
    <n v="163068.4"/>
    <n v="1608415.99"/>
    <x v="0"/>
    <d v="2025-05-10T00:00:00"/>
  </r>
  <r>
    <s v="L00920"/>
    <s v="C10921"/>
    <x v="0"/>
    <n v="27"/>
    <s v="Single"/>
    <s v="Non Graduate"/>
    <x v="0"/>
    <n v="625757"/>
    <n v="619"/>
    <n v="1863923"/>
    <n v="24"/>
    <n v="12.12"/>
    <x v="3"/>
    <x v="0"/>
    <x v="1"/>
    <n v="87076.27"/>
    <n v="728949.6"/>
    <x v="0"/>
    <d v="2024-01-29T00:00:00"/>
  </r>
  <r>
    <s v="L00921"/>
    <s v="C10922"/>
    <x v="0"/>
    <n v="29"/>
    <s v="Married"/>
    <s v="Graduate"/>
    <x v="0"/>
    <n v="616032"/>
    <n v="822"/>
    <n v="571442"/>
    <n v="60"/>
    <n v="8.31"/>
    <x v="0"/>
    <x v="0"/>
    <x v="0"/>
    <n v="10315.48"/>
    <n v="322381.83"/>
    <x v="0"/>
    <d v="2024-11-05T00:00:00"/>
  </r>
  <r>
    <s v="L00922"/>
    <s v="C10923"/>
    <x v="1"/>
    <n v="49"/>
    <s v="Single"/>
    <s v="Graduate"/>
    <x v="0"/>
    <n v="1985071"/>
    <n v="612"/>
    <n v="521493"/>
    <n v="180"/>
    <n v="12.57"/>
    <x v="0"/>
    <x v="1"/>
    <x v="0"/>
    <n v="3261.36"/>
    <n v="400572.52"/>
    <x v="0"/>
    <d v="2025-01-22T00:00:00"/>
  </r>
  <r>
    <s v="L00923"/>
    <s v="C10924"/>
    <x v="0"/>
    <n v="39"/>
    <s v="Married"/>
    <s v="Graduate"/>
    <x v="1"/>
    <n v="905069"/>
    <n v="820"/>
    <n v="906189"/>
    <n v="84"/>
    <n v="11.59"/>
    <x v="0"/>
    <x v="5"/>
    <x v="0"/>
    <n v="12038.29"/>
    <n v="448225.67"/>
    <x v="0"/>
    <d v="2024-02-09T00:00:00"/>
  </r>
  <r>
    <s v="L00924"/>
    <s v="C10925"/>
    <x v="0"/>
    <n v="41"/>
    <s v="Married"/>
    <s v="Graduate"/>
    <x v="0"/>
    <n v="1319656"/>
    <n v="612"/>
    <n v="1178350"/>
    <n v="48"/>
    <n v="9.1999999999999993"/>
    <x v="4"/>
    <x v="4"/>
    <x v="1"/>
    <n v="26807.46"/>
    <n v="216870.49"/>
    <x v="0"/>
    <d v="2025-03-13T00:00:00"/>
  </r>
  <r>
    <s v="L00925"/>
    <s v="C10926"/>
    <x v="0"/>
    <n v="30"/>
    <s v="Married"/>
    <s v="Graduate"/>
    <x v="0"/>
    <n v="1755326"/>
    <n v="724"/>
    <n v="383982"/>
    <n v="48"/>
    <n v="14.96"/>
    <x v="3"/>
    <x v="0"/>
    <x v="0"/>
    <n v="9196.3700000000008"/>
    <n v="348765.4"/>
    <x v="0"/>
    <d v="2024-04-08T00:00:00"/>
  </r>
  <r>
    <s v="L00926"/>
    <s v="C10927"/>
    <x v="0"/>
    <n v="48"/>
    <s v="Married"/>
    <s v="Non Graduate"/>
    <x v="0"/>
    <n v="1429888"/>
    <n v="612"/>
    <n v="825379"/>
    <n v="12"/>
    <n v="8.3800000000000008"/>
    <x v="3"/>
    <x v="2"/>
    <x v="0"/>
    <n v="74545.48"/>
    <n v="490168.68"/>
    <x v="0"/>
    <d v="2024-10-07T00:00:00"/>
  </r>
  <r>
    <s v="L00927"/>
    <s v="C10928"/>
    <x v="0"/>
    <n v="48"/>
    <s v="Single"/>
    <s v="Graduate"/>
    <x v="0"/>
    <n v="934947"/>
    <n v="684"/>
    <n v="1710995"/>
    <n v="36"/>
    <n v="10.53"/>
    <x v="3"/>
    <x v="3"/>
    <x v="0"/>
    <n v="52532.3"/>
    <n v="377310.71"/>
    <x v="0"/>
    <d v="2024-04-14T00:00:00"/>
  </r>
  <r>
    <s v="L00928"/>
    <s v="C10929"/>
    <x v="0"/>
    <n v="25"/>
    <s v="Married"/>
    <s v="Graduate"/>
    <x v="0"/>
    <n v="659759"/>
    <n v="725"/>
    <n v="889575"/>
    <n v="120"/>
    <n v="14.9"/>
    <x v="4"/>
    <x v="0"/>
    <x v="0"/>
    <n v="8517.68"/>
    <n v="641121"/>
    <x v="0"/>
    <d v="2024-04-08T00:00:00"/>
  </r>
  <r>
    <s v="L00929"/>
    <s v="C10930"/>
    <x v="0"/>
    <n v="23"/>
    <s v="Single"/>
    <s v="Graduate"/>
    <x v="0"/>
    <n v="616672"/>
    <n v="771"/>
    <n v="276467"/>
    <n v="60"/>
    <n v="14.12"/>
    <x v="1"/>
    <x v="5"/>
    <x v="0"/>
    <n v="5258.4"/>
    <n v="115989.39"/>
    <x v="0"/>
    <d v="2024-12-24T00:00:00"/>
  </r>
  <r>
    <s v="L00930"/>
    <s v="C10931"/>
    <x v="1"/>
    <n v="40"/>
    <s v="Married"/>
    <s v="Graduate"/>
    <x v="1"/>
    <n v="412808"/>
    <n v="595"/>
    <n v="609488"/>
    <n v="36"/>
    <n v="11.56"/>
    <x v="3"/>
    <x v="5"/>
    <x v="0"/>
    <n v="18887.36"/>
    <n v="579179.92000000004"/>
    <x v="1"/>
    <d v="2024-11-10T00:00:00"/>
  </r>
  <r>
    <s v="L00931"/>
    <s v="C10932"/>
    <x v="0"/>
    <n v="58"/>
    <s v="Married"/>
    <s v="Graduate"/>
    <x v="0"/>
    <n v="1267234"/>
    <n v="817"/>
    <n v="850147"/>
    <n v="12"/>
    <n v="11.12"/>
    <x v="2"/>
    <x v="5"/>
    <x v="0"/>
    <n v="78723.61"/>
    <n v="765437.48"/>
    <x v="0"/>
    <d v="2024-01-22T00:00:00"/>
  </r>
  <r>
    <s v="L00932"/>
    <s v="C10933"/>
    <x v="0"/>
    <n v="53"/>
    <s v="Single"/>
    <s v="Non Graduate"/>
    <x v="1"/>
    <n v="1930206"/>
    <n v="553"/>
    <n v="730789"/>
    <n v="48"/>
    <n v="15.02"/>
    <x v="3"/>
    <x v="0"/>
    <x v="1"/>
    <n v="17511.53"/>
    <n v="587020.80000000005"/>
    <x v="0"/>
    <d v="2025-09-04T00:00:00"/>
  </r>
  <r>
    <s v="L00933"/>
    <s v="C10934"/>
    <x v="0"/>
    <n v="37"/>
    <s v="Single"/>
    <s v="Non Graduate"/>
    <x v="1"/>
    <n v="603271"/>
    <n v="628"/>
    <n v="1493894"/>
    <n v="36"/>
    <n v="11.05"/>
    <x v="3"/>
    <x v="1"/>
    <x v="1"/>
    <n v="46082.48"/>
    <n v="439727.38"/>
    <x v="0"/>
    <d v="2024-11-27T00:00:00"/>
  </r>
  <r>
    <s v="L00934"/>
    <s v="C10935"/>
    <x v="1"/>
    <n v="24"/>
    <s v="Single"/>
    <s v="Non Graduate"/>
    <x v="0"/>
    <n v="1181765"/>
    <n v="710"/>
    <n v="918426"/>
    <n v="24"/>
    <n v="12.54"/>
    <x v="2"/>
    <x v="3"/>
    <x v="0"/>
    <n v="43066.53"/>
    <n v="741072.73"/>
    <x v="0"/>
    <d v="2025-05-09T00:00:00"/>
  </r>
  <r>
    <s v="L00935"/>
    <s v="C10936"/>
    <x v="0"/>
    <n v="24"/>
    <s v="Married"/>
    <s v="Graduate"/>
    <x v="1"/>
    <n v="257350"/>
    <n v="799"/>
    <n v="190994"/>
    <n v="24"/>
    <n v="10.97"/>
    <x v="0"/>
    <x v="0"/>
    <x v="1"/>
    <n v="8831.09"/>
    <n v="151096.4"/>
    <x v="0"/>
    <d v="2024-01-17T00:00:00"/>
  </r>
  <r>
    <s v="L00936"/>
    <s v="C10937"/>
    <x v="1"/>
    <n v="38"/>
    <s v="Married"/>
    <s v="Non Graduate"/>
    <x v="1"/>
    <n v="318666"/>
    <n v="634"/>
    <n v="1667758"/>
    <n v="240"/>
    <n v="8.64"/>
    <x v="0"/>
    <x v="4"/>
    <x v="1"/>
    <n v="7549.38"/>
    <n v="858043.3"/>
    <x v="0"/>
    <d v="2025-09-19T00:00:00"/>
  </r>
  <r>
    <s v="L00937"/>
    <s v="C10938"/>
    <x v="1"/>
    <n v="23"/>
    <s v="Married"/>
    <s v="Non Graduate"/>
    <x v="0"/>
    <n v="945141"/>
    <n v="793"/>
    <n v="1785867"/>
    <n v="240"/>
    <n v="14.45"/>
    <x v="1"/>
    <x v="3"/>
    <x v="0"/>
    <n v="8516.35"/>
    <n v="1519829.6"/>
    <x v="0"/>
    <d v="2025-08-05T00:00:00"/>
  </r>
  <r>
    <s v="L00938"/>
    <s v="C10939"/>
    <x v="1"/>
    <n v="32"/>
    <s v="Single"/>
    <s v="Non Graduate"/>
    <x v="0"/>
    <n v="261145"/>
    <n v="723"/>
    <n v="791203"/>
    <n v="24"/>
    <n v="10.38"/>
    <x v="4"/>
    <x v="5"/>
    <x v="1"/>
    <n v="36388.74"/>
    <n v="336293.4"/>
    <x v="0"/>
    <d v="2025-12-20T00:00:00"/>
  </r>
  <r>
    <s v="L00939"/>
    <s v="C10940"/>
    <x v="1"/>
    <n v="39"/>
    <s v="Married"/>
    <s v="Non Graduate"/>
    <x v="0"/>
    <n v="933920"/>
    <n v="776"/>
    <n v="681771"/>
    <n v="48"/>
    <n v="11.39"/>
    <x v="1"/>
    <x v="2"/>
    <x v="0"/>
    <n v="15821.35"/>
    <n v="309836.94"/>
    <x v="0"/>
    <d v="2025-04-26T00:00:00"/>
  </r>
  <r>
    <s v="L00940"/>
    <s v="C10941"/>
    <x v="1"/>
    <n v="22"/>
    <s v="Married"/>
    <s v="Non Graduate"/>
    <x v="1"/>
    <n v="1766983"/>
    <n v="694"/>
    <n v="1488986"/>
    <n v="240"/>
    <n v="8.16"/>
    <x v="1"/>
    <x v="1"/>
    <x v="0"/>
    <n v="6710.36"/>
    <n v="696704.28"/>
    <x v="0"/>
    <d v="2025-01-20T00:00:00"/>
  </r>
  <r>
    <s v="L00941"/>
    <s v="C10942"/>
    <x v="0"/>
    <n v="46"/>
    <s v="Single"/>
    <s v="Graduate"/>
    <x v="1"/>
    <n v="556634"/>
    <n v="771"/>
    <n v="933165"/>
    <n v="120"/>
    <n v="14.67"/>
    <x v="2"/>
    <x v="4"/>
    <x v="0"/>
    <n v="8917.17"/>
    <n v="501064.14"/>
    <x v="0"/>
    <d v="2025-05-29T00:00:00"/>
  </r>
  <r>
    <s v="L00942"/>
    <s v="C10943"/>
    <x v="1"/>
    <n v="33"/>
    <s v="Married"/>
    <s v="Graduate"/>
    <x v="0"/>
    <n v="1582029"/>
    <n v="700"/>
    <n v="1543074"/>
    <n v="120"/>
    <n v="7.88"/>
    <x v="1"/>
    <x v="2"/>
    <x v="0"/>
    <n v="13872.24"/>
    <n v="1025631.91"/>
    <x v="0"/>
    <d v="2025-09-16T00:00:00"/>
  </r>
  <r>
    <s v="L00943"/>
    <s v="C10944"/>
    <x v="1"/>
    <n v="57"/>
    <s v="Single"/>
    <s v="Graduate"/>
    <x v="0"/>
    <n v="864411"/>
    <n v="800"/>
    <n v="1181546"/>
    <n v="60"/>
    <n v="10.49"/>
    <x v="2"/>
    <x v="5"/>
    <x v="0"/>
    <n v="21758.17"/>
    <n v="367306.78"/>
    <x v="0"/>
    <d v="2024-02-29T00:00:00"/>
  </r>
  <r>
    <s v="L00944"/>
    <s v="C10945"/>
    <x v="1"/>
    <n v="22"/>
    <s v="Married"/>
    <s v="Non Graduate"/>
    <x v="1"/>
    <n v="1585970"/>
    <n v="738"/>
    <n v="1507539"/>
    <n v="240"/>
    <n v="12.44"/>
    <x v="2"/>
    <x v="0"/>
    <x v="0"/>
    <n v="7062.82"/>
    <n v="967842.62"/>
    <x v="0"/>
    <d v="2025-03-21T00:00:00"/>
  </r>
  <r>
    <s v="L00945"/>
    <s v="C10946"/>
    <x v="1"/>
    <n v="54"/>
    <s v="Married"/>
    <s v="Graduate"/>
    <x v="0"/>
    <n v="1982532"/>
    <n v="575"/>
    <n v="1048753"/>
    <n v="60"/>
    <n v="13.3"/>
    <x v="4"/>
    <x v="0"/>
    <x v="1"/>
    <n v="19803.95"/>
    <n v="984122.64"/>
    <x v="0"/>
    <d v="2024-01-15T00:00:00"/>
  </r>
  <r>
    <s v="L00946"/>
    <s v="C10947"/>
    <x v="1"/>
    <n v="31"/>
    <s v="Single"/>
    <s v="Graduate"/>
    <x v="1"/>
    <n v="1097103"/>
    <n v="558"/>
    <n v="740585"/>
    <n v="48"/>
    <n v="8.24"/>
    <x v="0"/>
    <x v="2"/>
    <x v="1"/>
    <n v="16700.189999999999"/>
    <n v="529822.82999999996"/>
    <x v="0"/>
    <d v="2025-04-02T00:00:00"/>
  </r>
  <r>
    <s v="L00947"/>
    <s v="C10948"/>
    <x v="1"/>
    <n v="55"/>
    <s v="Married"/>
    <s v="Non Graduate"/>
    <x v="0"/>
    <n v="431511"/>
    <n v="611"/>
    <n v="1921594"/>
    <n v="48"/>
    <n v="11.89"/>
    <x v="3"/>
    <x v="2"/>
    <x v="1"/>
    <n v="44793.16"/>
    <n v="1452600.87"/>
    <x v="0"/>
    <d v="2025-09-06T00:00:00"/>
  </r>
  <r>
    <s v="L00948"/>
    <s v="C10949"/>
    <x v="1"/>
    <n v="58"/>
    <s v="Single"/>
    <s v="Non Graduate"/>
    <x v="0"/>
    <n v="1365271"/>
    <n v="682"/>
    <n v="230064"/>
    <n v="180"/>
    <n v="10.73"/>
    <x v="4"/>
    <x v="5"/>
    <x v="0"/>
    <n v="1415.28"/>
    <n v="108978.91"/>
    <x v="0"/>
    <d v="2025-02-11T00:00:00"/>
  </r>
  <r>
    <s v="L00949"/>
    <s v="C10950"/>
    <x v="0"/>
    <n v="41"/>
    <s v="Married"/>
    <s v="Non Graduate"/>
    <x v="0"/>
    <n v="1938719"/>
    <n v="776"/>
    <n v="615913"/>
    <n v="12"/>
    <n v="7.78"/>
    <x v="4"/>
    <x v="3"/>
    <x v="0"/>
    <n v="55319.25"/>
    <n v="334957.31"/>
    <x v="0"/>
    <d v="2025-09-20T00:00:00"/>
  </r>
  <r>
    <s v="L00950"/>
    <s v="C10951"/>
    <x v="1"/>
    <n v="42"/>
    <s v="Married"/>
    <s v="Non Graduate"/>
    <x v="1"/>
    <n v="988577"/>
    <n v="730"/>
    <n v="251190"/>
    <n v="240"/>
    <n v="14.65"/>
    <x v="1"/>
    <x v="4"/>
    <x v="0"/>
    <n v="1199.96"/>
    <n v="222060.63"/>
    <x v="0"/>
    <d v="2025-11-04T00:00:00"/>
  </r>
  <r>
    <s v="L00951"/>
    <s v="C10952"/>
    <x v="1"/>
    <n v="40"/>
    <s v="Married"/>
    <s v="Non Graduate"/>
    <x v="0"/>
    <n v="500705"/>
    <n v="849"/>
    <n v="124297"/>
    <n v="60"/>
    <n v="15.37"/>
    <x v="2"/>
    <x v="5"/>
    <x v="0"/>
    <n v="2390.02"/>
    <n v="36516.230000000003"/>
    <x v="0"/>
    <d v="2025-08-01T00:00:00"/>
  </r>
  <r>
    <s v="L00952"/>
    <s v="C10953"/>
    <x v="0"/>
    <n v="49"/>
    <s v="Single"/>
    <s v="Non Graduate"/>
    <x v="0"/>
    <n v="1138003"/>
    <n v="835"/>
    <n v="351778"/>
    <n v="36"/>
    <n v="8.77"/>
    <x v="1"/>
    <x v="0"/>
    <x v="0"/>
    <n v="10628.58"/>
    <n v="137157.23000000001"/>
    <x v="0"/>
    <d v="2025-01-10T00:00:00"/>
  </r>
  <r>
    <s v="L00953"/>
    <s v="C10954"/>
    <x v="0"/>
    <n v="34"/>
    <s v="Single"/>
    <s v="Graduate"/>
    <x v="0"/>
    <n v="1749355"/>
    <n v="809"/>
    <n v="1554660"/>
    <n v="36"/>
    <n v="14.77"/>
    <x v="0"/>
    <x v="3"/>
    <x v="0"/>
    <n v="49563.42"/>
    <n v="350115.49"/>
    <x v="0"/>
    <d v="2024-08-24T00:00:00"/>
  </r>
  <r>
    <s v="L00954"/>
    <s v="C10955"/>
    <x v="1"/>
    <n v="51"/>
    <s v="Single"/>
    <s v="Graduate"/>
    <x v="0"/>
    <n v="284315"/>
    <n v="596"/>
    <n v="372662"/>
    <n v="48"/>
    <n v="12.99"/>
    <x v="3"/>
    <x v="1"/>
    <x v="1"/>
    <n v="8772.31"/>
    <n v="151383.1"/>
    <x v="0"/>
    <d v="2025-03-29T00:00:00"/>
  </r>
  <r>
    <s v="L00955"/>
    <s v="C10956"/>
    <x v="1"/>
    <n v="55"/>
    <s v="Single"/>
    <s v="Graduate"/>
    <x v="0"/>
    <n v="1998324"/>
    <n v="804"/>
    <n v="630312"/>
    <n v="24"/>
    <n v="14.03"/>
    <x v="2"/>
    <x v="0"/>
    <x v="0"/>
    <n v="29947.7"/>
    <n v="496729.23"/>
    <x v="0"/>
    <d v="2025-07-31T00:00:00"/>
  </r>
  <r>
    <s v="L00956"/>
    <s v="C10957"/>
    <x v="0"/>
    <n v="38"/>
    <s v="Single"/>
    <s v="Non Graduate"/>
    <x v="1"/>
    <n v="1622118"/>
    <n v="736"/>
    <n v="459807"/>
    <n v="36"/>
    <n v="15.12"/>
    <x v="1"/>
    <x v="2"/>
    <x v="0"/>
    <n v="14703.61"/>
    <n v="134996.92000000001"/>
    <x v="0"/>
    <d v="2025-07-17T00:00:00"/>
  </r>
  <r>
    <s v="L00957"/>
    <s v="C10958"/>
    <x v="0"/>
    <n v="48"/>
    <s v="Single"/>
    <s v="Graduate"/>
    <x v="0"/>
    <n v="1369358"/>
    <n v="680"/>
    <n v="1657981"/>
    <n v="84"/>
    <n v="10.93"/>
    <x v="1"/>
    <x v="3"/>
    <x v="0"/>
    <n v="21895.22"/>
    <n v="1419721.55"/>
    <x v="0"/>
    <d v="2025-08-24T00:00:00"/>
  </r>
  <r>
    <s v="L00958"/>
    <s v="C10959"/>
    <x v="0"/>
    <n v="40"/>
    <s v="Married"/>
    <s v="Graduate"/>
    <x v="0"/>
    <n v="887530"/>
    <n v="765"/>
    <n v="1522821"/>
    <n v="48"/>
    <n v="15.18"/>
    <x v="4"/>
    <x v="3"/>
    <x v="0"/>
    <n v="36541.360000000001"/>
    <n v="1361725.51"/>
    <x v="0"/>
    <d v="2025-01-03T00:00:00"/>
  </r>
  <r>
    <s v="L00959"/>
    <s v="C10960"/>
    <x v="0"/>
    <n v="28"/>
    <s v="Single"/>
    <s v="Graduate"/>
    <x v="0"/>
    <n v="383360"/>
    <n v="624"/>
    <n v="1230029"/>
    <n v="120"/>
    <n v="8.85"/>
    <x v="4"/>
    <x v="3"/>
    <x v="0"/>
    <n v="11157.39"/>
    <n v="1034769.3"/>
    <x v="0"/>
    <d v="2024-06-14T00:00:00"/>
  </r>
  <r>
    <s v="L00960"/>
    <s v="C10961"/>
    <x v="0"/>
    <n v="49"/>
    <s v="Single"/>
    <s v="Graduate"/>
    <x v="0"/>
    <n v="1146683"/>
    <n v="779"/>
    <n v="1559831"/>
    <n v="48"/>
    <n v="12.01"/>
    <x v="2"/>
    <x v="0"/>
    <x v="0"/>
    <n v="36399.31"/>
    <n v="843753.2"/>
    <x v="0"/>
    <d v="2024-04-10T00:00:00"/>
  </r>
  <r>
    <s v="L00961"/>
    <s v="C10962"/>
    <x v="0"/>
    <n v="28"/>
    <s v="Single"/>
    <s v="Graduate"/>
    <x v="0"/>
    <n v="721134"/>
    <n v="760"/>
    <n v="1731846"/>
    <n v="240"/>
    <n v="12.05"/>
    <x v="0"/>
    <x v="4"/>
    <x v="0"/>
    <n v="8085.56"/>
    <n v="1521911.86"/>
    <x v="0"/>
    <d v="2025-05-17T00:00:00"/>
  </r>
  <r>
    <s v="L00962"/>
    <s v="C10963"/>
    <x v="0"/>
    <n v="42"/>
    <s v="Single"/>
    <s v="Non Graduate"/>
    <x v="1"/>
    <n v="745364"/>
    <n v="846"/>
    <n v="499588"/>
    <n v="240"/>
    <n v="9.8000000000000007"/>
    <x v="0"/>
    <x v="2"/>
    <x v="0"/>
    <n v="2285.62"/>
    <n v="393771"/>
    <x v="0"/>
    <d v="2024-01-31T00:00:00"/>
  </r>
  <r>
    <s v="L00963"/>
    <s v="C10964"/>
    <x v="0"/>
    <n v="51"/>
    <s v="Single"/>
    <s v="Non Graduate"/>
    <x v="0"/>
    <n v="1664149"/>
    <n v="580"/>
    <n v="1079918"/>
    <n v="84"/>
    <n v="12.21"/>
    <x v="1"/>
    <x v="3"/>
    <x v="0"/>
    <n v="14425.9"/>
    <n v="704427.11"/>
    <x v="0"/>
    <d v="2024-08-02T00:00:00"/>
  </r>
  <r>
    <s v="L00964"/>
    <s v="C10965"/>
    <x v="0"/>
    <n v="44"/>
    <s v="Married"/>
    <s v="Non Graduate"/>
    <x v="0"/>
    <n v="679201"/>
    <n v="788"/>
    <n v="1246756"/>
    <n v="48"/>
    <n v="9.6300000000000008"/>
    <x v="3"/>
    <x v="0"/>
    <x v="0"/>
    <n v="28475.39"/>
    <n v="384281.95"/>
    <x v="0"/>
    <d v="2024-07-30T00:00:00"/>
  </r>
  <r>
    <s v="L00965"/>
    <s v="C10966"/>
    <x v="1"/>
    <n v="50"/>
    <s v="Single"/>
    <s v="Graduate"/>
    <x v="1"/>
    <n v="309198"/>
    <n v="736"/>
    <n v="371058"/>
    <n v="12"/>
    <n v="10.47"/>
    <x v="1"/>
    <x v="5"/>
    <x v="0"/>
    <n v="34158.980000000003"/>
    <n v="168211.37"/>
    <x v="0"/>
    <d v="2024-11-06T00:00:00"/>
  </r>
  <r>
    <s v="L00966"/>
    <s v="C10967"/>
    <x v="1"/>
    <n v="25"/>
    <s v="Married"/>
    <s v="Non Graduate"/>
    <x v="1"/>
    <n v="747141"/>
    <n v="766"/>
    <n v="1095825"/>
    <n v="36"/>
    <n v="8.77"/>
    <x v="3"/>
    <x v="2"/>
    <x v="0"/>
    <n v="33109.129999999997"/>
    <n v="390904.77"/>
    <x v="0"/>
    <d v="2024-10-08T00:00:00"/>
  </r>
  <r>
    <s v="L00967"/>
    <s v="C10968"/>
    <x v="0"/>
    <n v="36"/>
    <s v="Married"/>
    <s v="Non Graduate"/>
    <x v="1"/>
    <n v="1875256"/>
    <n v="785"/>
    <n v="1710977"/>
    <n v="60"/>
    <n v="14.29"/>
    <x v="0"/>
    <x v="3"/>
    <x v="0"/>
    <n v="32591.26"/>
    <n v="1670301.46"/>
    <x v="0"/>
    <d v="2024-05-19T00:00:00"/>
  </r>
  <r>
    <s v="L00968"/>
    <s v="C10969"/>
    <x v="0"/>
    <n v="24"/>
    <s v="Married"/>
    <s v="Graduate"/>
    <x v="1"/>
    <n v="387510"/>
    <n v="807"/>
    <n v="1126731"/>
    <n v="24"/>
    <n v="7.63"/>
    <x v="0"/>
    <x v="0"/>
    <x v="0"/>
    <n v="50529.19"/>
    <n v="756718.55"/>
    <x v="0"/>
    <d v="2025-08-27T00:00:00"/>
  </r>
  <r>
    <s v="L00969"/>
    <s v="C10970"/>
    <x v="0"/>
    <n v="41"/>
    <s v="Single"/>
    <s v="Graduate"/>
    <x v="0"/>
    <n v="1848210"/>
    <n v="593"/>
    <n v="1989933"/>
    <n v="84"/>
    <n v="10.9"/>
    <x v="0"/>
    <x v="1"/>
    <x v="0"/>
    <n v="26271.85"/>
    <n v="432737.01"/>
    <x v="0"/>
    <d v="2024-01-13T00:00:00"/>
  </r>
  <r>
    <s v="L00970"/>
    <s v="C10971"/>
    <x v="0"/>
    <n v="51"/>
    <s v="Married"/>
    <s v="Non Graduate"/>
    <x v="1"/>
    <n v="1901421"/>
    <n v="823"/>
    <n v="663916"/>
    <n v="240"/>
    <n v="13.33"/>
    <x v="2"/>
    <x v="3"/>
    <x v="0"/>
    <n v="3135.07"/>
    <n v="149772.98000000001"/>
    <x v="0"/>
    <d v="2025-08-15T00:00:00"/>
  </r>
  <r>
    <s v="L00971"/>
    <s v="C10972"/>
    <x v="0"/>
    <n v="31"/>
    <s v="Single"/>
    <s v="Non Graduate"/>
    <x v="0"/>
    <n v="1973081"/>
    <n v="686"/>
    <n v="1878371"/>
    <n v="36"/>
    <n v="15.16"/>
    <x v="3"/>
    <x v="0"/>
    <x v="0"/>
    <n v="60087"/>
    <n v="797538.94"/>
    <x v="0"/>
    <d v="2025-02-15T00:00:00"/>
  </r>
  <r>
    <s v="L00972"/>
    <s v="C10973"/>
    <x v="0"/>
    <n v="52"/>
    <s v="Single"/>
    <s v="Graduate"/>
    <x v="1"/>
    <n v="585675"/>
    <n v="647"/>
    <n v="188905"/>
    <n v="120"/>
    <n v="12.39"/>
    <x v="0"/>
    <x v="5"/>
    <x v="1"/>
    <n v="1769.25"/>
    <n v="96655.18"/>
    <x v="0"/>
    <d v="2024-06-19T00:00:00"/>
  </r>
  <r>
    <s v="L00973"/>
    <s v="C10974"/>
    <x v="0"/>
    <n v="51"/>
    <s v="Married"/>
    <s v="Graduate"/>
    <x v="0"/>
    <n v="305912"/>
    <n v="655"/>
    <n v="337867"/>
    <n v="180"/>
    <n v="8.91"/>
    <x v="1"/>
    <x v="3"/>
    <x v="1"/>
    <n v="2044.28"/>
    <n v="130599.32"/>
    <x v="0"/>
    <d v="2024-01-20T00:00:00"/>
  </r>
  <r>
    <s v="L00974"/>
    <s v="C10975"/>
    <x v="1"/>
    <n v="34"/>
    <s v="Married"/>
    <s v="Graduate"/>
    <x v="1"/>
    <n v="1186221"/>
    <n v="722"/>
    <n v="1238445"/>
    <n v="60"/>
    <n v="10.25"/>
    <x v="4"/>
    <x v="3"/>
    <x v="0"/>
    <n v="22756.43"/>
    <n v="278090.56"/>
    <x v="0"/>
    <d v="2024-03-05T00:00:00"/>
  </r>
  <r>
    <s v="L00975"/>
    <s v="C10976"/>
    <x v="0"/>
    <n v="29"/>
    <s v="Married"/>
    <s v="Non Graduate"/>
    <x v="0"/>
    <n v="976083"/>
    <n v="831"/>
    <n v="343889"/>
    <n v="12"/>
    <n v="11"/>
    <x v="4"/>
    <x v="1"/>
    <x v="0"/>
    <n v="31809.73"/>
    <n v="341231.9"/>
    <x v="0"/>
    <d v="2024-09-21T00:00:00"/>
  </r>
  <r>
    <s v="L00976"/>
    <s v="C10977"/>
    <x v="0"/>
    <n v="46"/>
    <s v="Married"/>
    <s v="Non Graduate"/>
    <x v="0"/>
    <n v="918135"/>
    <n v="794"/>
    <n v="1678636"/>
    <n v="48"/>
    <n v="12.38"/>
    <x v="4"/>
    <x v="2"/>
    <x v="0"/>
    <n v="39301.07"/>
    <n v="1108901.6100000001"/>
    <x v="0"/>
    <d v="2025-07-08T00:00:00"/>
  </r>
  <r>
    <s v="L00977"/>
    <s v="C10978"/>
    <x v="0"/>
    <n v="32"/>
    <s v="Married"/>
    <s v="Graduate"/>
    <x v="1"/>
    <n v="1740359"/>
    <n v="774"/>
    <n v="1246588"/>
    <n v="60"/>
    <n v="8.17"/>
    <x v="0"/>
    <x v="2"/>
    <x v="0"/>
    <n v="22473.9"/>
    <n v="192400.3"/>
    <x v="0"/>
    <d v="2025-06-26T00:00:00"/>
  </r>
  <r>
    <s v="L00978"/>
    <s v="C10979"/>
    <x v="1"/>
    <n v="44"/>
    <s v="Single"/>
    <s v="Graduate"/>
    <x v="1"/>
    <n v="564082"/>
    <n v="686"/>
    <n v="1438681"/>
    <n v="84"/>
    <n v="11.72"/>
    <x v="1"/>
    <x v="4"/>
    <x v="0"/>
    <n v="19134.46"/>
    <n v="439048.22"/>
    <x v="0"/>
    <d v="2024-09-11T00:00:00"/>
  </r>
  <r>
    <s v="L00979"/>
    <s v="C10980"/>
    <x v="0"/>
    <n v="41"/>
    <s v="Married"/>
    <s v="Non Graduate"/>
    <x v="0"/>
    <n v="1274053"/>
    <n v="647"/>
    <n v="1592828"/>
    <n v="12"/>
    <n v="10.52"/>
    <x v="2"/>
    <x v="0"/>
    <x v="1"/>
    <n v="146699.46"/>
    <n v="420554.8"/>
    <x v="0"/>
    <d v="2024-08-01T00:00:00"/>
  </r>
  <r>
    <s v="L00980"/>
    <s v="C10981"/>
    <x v="1"/>
    <n v="54"/>
    <s v="Married"/>
    <s v="Non Graduate"/>
    <x v="1"/>
    <n v="1488196"/>
    <n v="584"/>
    <n v="1713551"/>
    <n v="84"/>
    <n v="13.46"/>
    <x v="2"/>
    <x v="5"/>
    <x v="1"/>
    <n v="23145.18"/>
    <n v="442327.1"/>
    <x v="0"/>
    <d v="2025-01-11T00:00:00"/>
  </r>
  <r>
    <s v="L00981"/>
    <s v="C10982"/>
    <x v="0"/>
    <n v="25"/>
    <s v="Married"/>
    <s v="Non Graduate"/>
    <x v="1"/>
    <n v="1471726"/>
    <n v="696"/>
    <n v="1218620"/>
    <n v="12"/>
    <n v="14.58"/>
    <x v="3"/>
    <x v="3"/>
    <x v="0"/>
    <n v="116357.9"/>
    <n v="576773.44999999995"/>
    <x v="0"/>
    <d v="2024-05-28T00:00:00"/>
  </r>
  <r>
    <s v="L00982"/>
    <s v="C10983"/>
    <x v="0"/>
    <n v="38"/>
    <s v="Married"/>
    <s v="Non Graduate"/>
    <x v="1"/>
    <n v="384551"/>
    <n v="598"/>
    <n v="776221"/>
    <n v="120"/>
    <n v="13.8"/>
    <x v="4"/>
    <x v="3"/>
    <x v="1"/>
    <n v="7361.16"/>
    <n v="289130.64"/>
    <x v="0"/>
    <d v="2025-06-11T00:00:00"/>
  </r>
  <r>
    <s v="L00983"/>
    <s v="C10984"/>
    <x v="1"/>
    <n v="47"/>
    <s v="Single"/>
    <s v="Graduate"/>
    <x v="1"/>
    <n v="1061834"/>
    <n v="741"/>
    <n v="1949370"/>
    <n v="36"/>
    <n v="13.36"/>
    <x v="0"/>
    <x v="4"/>
    <x v="0"/>
    <n v="61383.5"/>
    <n v="1015661.74"/>
    <x v="0"/>
    <d v="2024-11-01T00:00:00"/>
  </r>
  <r>
    <s v="L00984"/>
    <s v="C10985"/>
    <x v="1"/>
    <n v="54"/>
    <s v="Single"/>
    <s v="Graduate"/>
    <x v="0"/>
    <n v="755900"/>
    <n v="689"/>
    <n v="1086674"/>
    <n v="48"/>
    <n v="9.1999999999999993"/>
    <x v="4"/>
    <x v="1"/>
    <x v="0"/>
    <n v="24721.83"/>
    <n v="769247.43"/>
    <x v="0"/>
    <d v="2025-03-09T00:00:00"/>
  </r>
  <r>
    <s v="L00985"/>
    <s v="C10986"/>
    <x v="1"/>
    <n v="27"/>
    <s v="Single"/>
    <s v="Graduate"/>
    <x v="1"/>
    <n v="746930"/>
    <n v="802"/>
    <n v="989978"/>
    <n v="180"/>
    <n v="8.59"/>
    <x v="3"/>
    <x v="4"/>
    <x v="0"/>
    <n v="5972.32"/>
    <n v="286821.32"/>
    <x v="0"/>
    <d v="2025-10-07T00:00:00"/>
  </r>
  <r>
    <s v="L00986"/>
    <s v="C10987"/>
    <x v="1"/>
    <n v="47"/>
    <s v="Single"/>
    <s v="Non Graduate"/>
    <x v="1"/>
    <n v="980802"/>
    <n v="787"/>
    <n v="690403"/>
    <n v="84"/>
    <n v="10.76"/>
    <x v="3"/>
    <x v="1"/>
    <x v="0"/>
    <n v="9103.4599999999991"/>
    <n v="234311"/>
    <x v="0"/>
    <d v="2025-04-04T00:00:00"/>
  </r>
  <r>
    <s v="L00987"/>
    <s v="C10988"/>
    <x v="0"/>
    <n v="57"/>
    <s v="Single"/>
    <s v="Graduate"/>
    <x v="1"/>
    <n v="1065529"/>
    <n v="635"/>
    <n v="1607930"/>
    <n v="36"/>
    <n v="7.89"/>
    <x v="1"/>
    <x v="0"/>
    <x v="1"/>
    <n v="48188.77"/>
    <n v="1240018.57"/>
    <x v="0"/>
    <d v="2024-02-16T00:00:00"/>
  </r>
  <r>
    <s v="L00988"/>
    <s v="C10989"/>
    <x v="0"/>
    <n v="34"/>
    <s v="Single"/>
    <s v="Graduate"/>
    <x v="0"/>
    <n v="1245292"/>
    <n v="745"/>
    <n v="1174525"/>
    <n v="84"/>
    <n v="10.029999999999999"/>
    <x v="4"/>
    <x v="0"/>
    <x v="0"/>
    <n v="15384.88"/>
    <n v="736817.24"/>
    <x v="0"/>
    <d v="2025-08-27T00:00:00"/>
  </r>
  <r>
    <s v="L00989"/>
    <s v="C10990"/>
    <x v="0"/>
    <n v="23"/>
    <s v="Single"/>
    <s v="Non Graduate"/>
    <x v="1"/>
    <n v="1897720"/>
    <n v="809"/>
    <n v="1914086"/>
    <n v="48"/>
    <n v="13.9"/>
    <x v="4"/>
    <x v="3"/>
    <x v="0"/>
    <n v="45419.67"/>
    <n v="250796.19"/>
    <x v="0"/>
    <d v="2024-04-11T00:00:00"/>
  </r>
  <r>
    <s v="L00990"/>
    <s v="C10991"/>
    <x v="0"/>
    <n v="25"/>
    <s v="Married"/>
    <s v="Non Graduate"/>
    <x v="0"/>
    <n v="1098705"/>
    <n v="731"/>
    <n v="1718377"/>
    <n v="24"/>
    <n v="15.33"/>
    <x v="1"/>
    <x v="4"/>
    <x v="0"/>
    <n v="82575.17"/>
    <n v="1508800.9"/>
    <x v="0"/>
    <d v="2025-01-25T00:00:00"/>
  </r>
  <r>
    <s v="L00991"/>
    <s v="C10992"/>
    <x v="0"/>
    <n v="38"/>
    <s v="Married"/>
    <s v="Graduate"/>
    <x v="0"/>
    <n v="1467015"/>
    <n v="737"/>
    <n v="1756417"/>
    <n v="84"/>
    <n v="12.31"/>
    <x v="0"/>
    <x v="4"/>
    <x v="0"/>
    <n v="23483.71"/>
    <n v="1413115.15"/>
    <x v="0"/>
    <d v="2024-09-21T00:00:00"/>
  </r>
  <r>
    <s v="L00992"/>
    <s v="C10993"/>
    <x v="0"/>
    <n v="28"/>
    <s v="Married"/>
    <s v="Graduate"/>
    <x v="1"/>
    <n v="1637613"/>
    <n v="585"/>
    <n v="151138"/>
    <n v="180"/>
    <n v="8.1"/>
    <x v="1"/>
    <x v="4"/>
    <x v="1"/>
    <n v="907.67"/>
    <n v="64809.45"/>
    <x v="0"/>
    <d v="2024-01-21T00:00:00"/>
  </r>
  <r>
    <s v="L00993"/>
    <s v="C10994"/>
    <x v="1"/>
    <n v="21"/>
    <s v="Married"/>
    <s v="Graduate"/>
    <x v="1"/>
    <n v="552734"/>
    <n v="635"/>
    <n v="1378514"/>
    <n v="12"/>
    <n v="7.75"/>
    <x v="2"/>
    <x v="4"/>
    <x v="0"/>
    <n v="123779.07"/>
    <n v="251915.17"/>
    <x v="0"/>
    <d v="2025-10-02T00:00:00"/>
  </r>
  <r>
    <s v="L00994"/>
    <s v="C10995"/>
    <x v="1"/>
    <n v="34"/>
    <s v="Married"/>
    <s v="Non Graduate"/>
    <x v="0"/>
    <n v="671925"/>
    <n v="834"/>
    <n v="1823392"/>
    <n v="60"/>
    <n v="13.57"/>
    <x v="0"/>
    <x v="4"/>
    <x v="0"/>
    <n v="34513.769999999997"/>
    <n v="1819875.15"/>
    <x v="0"/>
    <d v="2024-11-13T00:00:00"/>
  </r>
  <r>
    <s v="L00995"/>
    <s v="C10996"/>
    <x v="1"/>
    <n v="32"/>
    <s v="Single"/>
    <s v="Graduate"/>
    <x v="1"/>
    <n v="1213941"/>
    <n v="611"/>
    <n v="461572"/>
    <n v="48"/>
    <n v="13.87"/>
    <x v="1"/>
    <x v="4"/>
    <x v="1"/>
    <n v="10949.83"/>
    <n v="149574.16"/>
    <x v="0"/>
    <d v="2024-09-16T00:00:00"/>
  </r>
  <r>
    <s v="L00996"/>
    <s v="C10997"/>
    <x v="1"/>
    <n v="58"/>
    <s v="Single"/>
    <s v="Non Graduate"/>
    <x v="0"/>
    <n v="864093"/>
    <n v="561"/>
    <n v="423179"/>
    <n v="180"/>
    <n v="14.64"/>
    <x v="3"/>
    <x v="3"/>
    <x v="0"/>
    <n v="2695.18"/>
    <n v="356833.18"/>
    <x v="0"/>
    <d v="2025-04-01T00:00:00"/>
  </r>
  <r>
    <s v="L00997"/>
    <s v="C10998"/>
    <x v="0"/>
    <n v="41"/>
    <s v="Married"/>
    <s v="Graduate"/>
    <x v="1"/>
    <n v="487239"/>
    <n v="651"/>
    <n v="496985"/>
    <n v="120"/>
    <n v="12.58"/>
    <x v="2"/>
    <x v="2"/>
    <x v="0"/>
    <n v="4662.55"/>
    <n v="361697.18"/>
    <x v="0"/>
    <d v="2024-03-30T00:00:00"/>
  </r>
  <r>
    <s v="L00998"/>
    <s v="C10999"/>
    <x v="1"/>
    <n v="37"/>
    <s v="Single"/>
    <s v="Non Graduate"/>
    <x v="0"/>
    <n v="370770"/>
    <n v="681"/>
    <n v="290840"/>
    <n v="60"/>
    <n v="13.35"/>
    <x v="3"/>
    <x v="5"/>
    <x v="0"/>
    <n v="5494.45"/>
    <n v="80004.429999999993"/>
    <x v="0"/>
    <d v="2024-05-24T00:00:00"/>
  </r>
  <r>
    <s v="L00999"/>
    <s v="C11000"/>
    <x v="0"/>
    <n v="36"/>
    <s v="Married"/>
    <s v="Non Graduate"/>
    <x v="0"/>
    <n v="514768"/>
    <n v="652"/>
    <n v="1352686"/>
    <n v="120"/>
    <n v="8.25"/>
    <x v="0"/>
    <x v="0"/>
    <x v="0"/>
    <n v="12202.35"/>
    <n v="342180.87"/>
    <x v="0"/>
    <d v="2024-05-30T00:00:00"/>
  </r>
  <r>
    <s v="L01000"/>
    <s v="C11001"/>
    <x v="0"/>
    <n v="54"/>
    <s v="Single"/>
    <s v="Non Graduate"/>
    <x v="0"/>
    <n v="939535"/>
    <n v="609"/>
    <n v="1786709"/>
    <n v="180"/>
    <n v="14.9"/>
    <x v="0"/>
    <x v="2"/>
    <x v="0"/>
    <n v="11405.16"/>
    <n v="484956.35"/>
    <x v="0"/>
    <d v="2024-10-1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Items count="1">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s>
  <rowItems count="1">
    <i/>
  </rowItems>
  <colItems count="1">
    <i/>
  </colItems>
  <dataFields count="1">
    <dataField name="Sum of Loan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s>
  <rowItems count="1">
    <i/>
  </rowItems>
  <colItems count="1">
    <i/>
  </colItems>
  <dataFields count="1">
    <dataField name="Average of Loan_Amount"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9">
    <pivotField dataField="1" showAll="0"/>
    <pivotField showAll="0"/>
    <pivotField showAll="0">
      <items count="3">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6">
        <item x="2"/>
        <item x="0"/>
        <item x="1"/>
        <item x="3"/>
        <item x="4"/>
        <item t="default"/>
      </items>
    </pivotField>
    <pivotField showAll="0">
      <items count="7">
        <item x="1"/>
        <item x="5"/>
        <item x="2"/>
        <item x="0"/>
        <item x="4"/>
        <item x="3"/>
        <item t="default"/>
      </items>
    </pivotField>
    <pivotField axis="axisRow" showAll="0">
      <items count="3">
        <item x="0"/>
        <item x="1"/>
        <item t="default"/>
      </items>
    </pivotField>
    <pivotField showAll="0"/>
    <pivotField showAll="0"/>
    <pivotField showAll="0"/>
    <pivotField numFmtId="164" showAll="0"/>
  </pivotFields>
  <rowFields count="1">
    <field x="14"/>
  </rowFields>
  <rowItems count="3">
    <i>
      <x/>
    </i>
    <i>
      <x v="1"/>
    </i>
    <i t="grand">
      <x/>
    </i>
  </rowItems>
  <colItems count="1">
    <i/>
  </colItems>
  <dataFields count="1">
    <dataField name="Count of Loan_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0"/>
          </reference>
        </references>
      </pivotArea>
    </chartFormat>
    <chartFormat chart="4"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6" firstHeaderRow="1" firstDataRow="1" firstDataCol="1"/>
  <pivotFields count="19">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3">
    <i>
      <x/>
    </i>
    <i>
      <x v="1"/>
    </i>
    <i t="grand">
      <x/>
    </i>
  </rowItems>
  <colItems count="1">
    <i/>
  </colItems>
  <dataFields count="1">
    <dataField name="Count of Loan_ID" fld="0" subtotal="count" baseField="0" baseItem="0"/>
  </dataFields>
  <chartFormats count="8">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1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2" count="1" selected="0">
            <x v="0"/>
          </reference>
        </references>
      </pivotArea>
    </chartFormat>
    <chartFormat chart="13"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6" firstHeaderRow="1" firstDataRow="1" firstDataCol="1"/>
  <pivotFields count="19">
    <pivotField dataField="1" showAll="0"/>
    <pivotField showAll="0"/>
    <pivotField showAll="0">
      <items count="3">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6"/>
  </rowFields>
  <rowItems count="3">
    <i>
      <x/>
    </i>
    <i>
      <x v="1"/>
    </i>
    <i t="grand">
      <x/>
    </i>
  </rowItems>
  <colItems count="1">
    <i/>
  </colItems>
  <dataFields count="1">
    <dataField name="Count of Loan_ID" fld="0" subtotal="count" baseField="0" baseItem="0"/>
  </dataFields>
  <chartFormats count="4">
    <chartFormat chart="6"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10" firstHeaderRow="1" firstDataRow="1" firstDataCol="1"/>
  <pivotFields count="19">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1"/>
        <item x="5"/>
        <item x="2"/>
        <item x="0"/>
        <item x="4"/>
        <item x="3"/>
        <item t="default"/>
      </items>
    </pivotField>
    <pivotField showAll="0"/>
    <pivotField showAll="0"/>
    <pivotField showAll="0"/>
    <pivotField showAll="0"/>
    <pivotField numFmtId="164" showAll="0"/>
  </pivotFields>
  <rowFields count="1">
    <field x="13"/>
  </rowFields>
  <rowItems count="7">
    <i>
      <x/>
    </i>
    <i>
      <x v="1"/>
    </i>
    <i>
      <x v="2"/>
    </i>
    <i>
      <x v="3"/>
    </i>
    <i>
      <x v="4"/>
    </i>
    <i>
      <x v="5"/>
    </i>
    <i t="grand">
      <x/>
    </i>
  </rowItems>
  <colItems count="1">
    <i/>
  </colItems>
  <dataFields count="1">
    <dataField name="Count of Loan_ID" fld="0" subtotal="count"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pivotFields count="19">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numFmtId="164" showAll="0"/>
  </pivotFields>
  <rowFields count="1">
    <field x="12"/>
  </rowFields>
  <rowItems count="6">
    <i>
      <x/>
    </i>
    <i>
      <x v="1"/>
    </i>
    <i>
      <x v="2"/>
    </i>
    <i>
      <x v="3"/>
    </i>
    <i>
      <x v="4"/>
    </i>
    <i t="grand">
      <x/>
    </i>
  </rowItems>
  <colItems count="1">
    <i/>
  </colItems>
  <dataFields count="1">
    <dataField name="Count of Loan_ID" fld="0" subtotal="count" baseField="0" baseItem="0"/>
  </dataFields>
  <chartFormats count="7">
    <chartFormat chart="5"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2" count="1" selected="0">
            <x v="0"/>
          </reference>
        </references>
      </pivotArea>
    </chartFormat>
    <chartFormat chart="8" format="9">
      <pivotArea type="data" outline="0" fieldPosition="0">
        <references count="2">
          <reference field="4294967294" count="1" selected="0">
            <x v="0"/>
          </reference>
          <reference field="12" count="1" selected="0">
            <x v="1"/>
          </reference>
        </references>
      </pivotArea>
    </chartFormat>
    <chartFormat chart="8" format="10">
      <pivotArea type="data" outline="0" fieldPosition="0">
        <references count="2">
          <reference field="4294967294" count="1" selected="0">
            <x v="0"/>
          </reference>
          <reference field="12" count="1" selected="0">
            <x v="2"/>
          </reference>
        </references>
      </pivotArea>
    </chartFormat>
    <chartFormat chart="8" format="11">
      <pivotArea type="data" outline="0" fieldPosition="0">
        <references count="2">
          <reference field="4294967294" count="1" selected="0">
            <x v="0"/>
          </reference>
          <reference field="12" count="1" selected="0">
            <x v="3"/>
          </reference>
        </references>
      </pivotArea>
    </chartFormat>
    <chartFormat chart="8"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9">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numFmtId="164" showAll="0"/>
  </pivotFields>
  <rowFields count="1">
    <field x="17"/>
  </rowFields>
  <rowItems count="3">
    <i>
      <x/>
    </i>
    <i>
      <x v="1"/>
    </i>
    <i t="grand">
      <x/>
    </i>
  </rowItems>
  <colItems count="1">
    <i/>
  </colItems>
  <dataFields count="1">
    <dataField name="Count of Loan_ID" fld="0"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7" count="1" selected="0">
            <x v="0"/>
          </reference>
        </references>
      </pivotArea>
    </chartFormat>
    <chartFormat chart="7" format="7">
      <pivotArea type="data" outline="0" fieldPosition="0">
        <references count="2">
          <reference field="4294967294" count="1" selected="0">
            <x v="0"/>
          </reference>
          <reference field="17" count="1" selected="0">
            <x v="1"/>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4"/>
    <pivotTable tabId="10" name="PivotTable9"/>
    <pivotTable tabId="7" name="PivotTable6"/>
    <pivotTable tabId="6" name="PivotTable5"/>
    <pivotTable tabId="9" name="PivotTable8"/>
    <pivotTable tabId="8" name="PivotTable7"/>
    <pivotTable tabId="4" name="PivotTable3"/>
    <pivotTable tabId="3" name="PivotTable2"/>
    <pivotTable tabId="2" name="PivotTable1"/>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mployment" sourceName="Employment">
  <pivotTables>
    <pivotTable tabId="5" name="PivotTable4"/>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an_Status" sourceName="Loan_Status">
  <pivotTables>
    <pivotTable tabId="5" name="PivotTable4"/>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4"/>
  </pivotTables>
  <data>
    <tabular pivotCacheId="1">
      <items count="6">
        <i x="1" s="1"/>
        <i x="5" s="1"/>
        <i x="2"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urpose" sourceName="Purpose">
  <pivotTables>
    <pivotTable tabId="5" name="PivotTable4"/>
  </pivotTables>
  <data>
    <tabular pivotCacheId="1">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Other2" rowHeight="241300"/>
  <slicer name="Employment" cache="Slicer_Employment" caption="Employment" style="SlicerStyleDark4" rowHeight="241300"/>
  <slicer name="Loan_Status" cache="Slicer_Loan_Status" caption="Loan_Status" rowHeight="241300"/>
  <slicer name="State" cache="Slicer_State" caption="State" style="SlicerStyleLight2" rowHeight="241300"/>
  <slicer name="Purpose" cache="Slicer_Purpose" caption="Purpose" rowHeight="241300"/>
</slicers>
</file>

<file path=xl/tables/table1.xml><?xml version="1.0" encoding="utf-8"?>
<table xmlns="http://schemas.openxmlformats.org/spreadsheetml/2006/main" id="1" name="Table1" displayName="Table1" ref="A1:S1001" totalsRowShown="0">
  <autoFilter ref="A1:S1001"/>
  <sortState ref="A2:S1001">
    <sortCondition ref="A1:A1001"/>
  </sortState>
  <tableColumns count="19">
    <tableColumn id="1" name="Loan_ID" dataDxfId="8"/>
    <tableColumn id="2" name="Customer_ID" dataDxfId="7"/>
    <tableColumn id="3" name="Gender" dataDxfId="6"/>
    <tableColumn id="4" name="Age" dataDxfId="5"/>
    <tableColumn id="5" name="Marital_Status" dataDxfId="4"/>
    <tableColumn id="6" name="Education" dataDxfId="3"/>
    <tableColumn id="7" name="Employment" dataDxfId="2"/>
    <tableColumn id="8" name="Annual_Income" dataDxfId="1"/>
    <tableColumn id="9" name="Credit_Score"/>
    <tableColumn id="10" name="Loan_Amount"/>
    <tableColumn id="11" name="Loan_Term_Months"/>
    <tableColumn id="12" name="Interest_Rate"/>
    <tableColumn id="13" name="Purpose"/>
    <tableColumn id="14" name="State"/>
    <tableColumn id="15" name="Loan_Status"/>
    <tableColumn id="16" name="EMI"/>
    <tableColumn id="17" name="Outstanding_Balance"/>
    <tableColumn id="18" name="Default"/>
    <tableColumn id="19" name="Application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5" x14ac:dyDescent="0.25"/>
  <cols>
    <col min="1" max="1" width="16.140625" bestFit="1" customWidth="1"/>
  </cols>
  <sheetData>
    <row r="3" spans="1:1" x14ac:dyDescent="0.25">
      <c r="A3" t="s">
        <v>2041</v>
      </c>
    </row>
    <row r="4" spans="1:1" x14ac:dyDescent="0.25">
      <c r="A4" s="2">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5" x14ac:dyDescent="0.25"/>
  <cols>
    <col min="1" max="1" width="20.140625" bestFit="1" customWidth="1"/>
  </cols>
  <sheetData>
    <row r="3" spans="1:1" x14ac:dyDescent="0.25">
      <c r="A3" t="s">
        <v>2042</v>
      </c>
    </row>
    <row r="4" spans="1:1" x14ac:dyDescent="0.25">
      <c r="A4" s="2">
        <v>1048390264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5" x14ac:dyDescent="0.25"/>
  <cols>
    <col min="1" max="1" width="23.7109375" bestFit="1" customWidth="1"/>
  </cols>
  <sheetData>
    <row r="3" spans="1:1" x14ac:dyDescent="0.25">
      <c r="A3" t="s">
        <v>2043</v>
      </c>
    </row>
    <row r="4" spans="1:1" x14ac:dyDescent="0.25">
      <c r="A4" s="2">
        <v>1048390.264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zoomScale="101" workbookViewId="0">
      <selection activeCell="B23" sqref="B23"/>
    </sheetView>
  </sheetViews>
  <sheetFormatPr defaultRowHeight="15" x14ac:dyDescent="0.25"/>
  <cols>
    <col min="1" max="1" width="13.140625" bestFit="1" customWidth="1"/>
    <col min="2" max="2" width="16.140625" bestFit="1" customWidth="1"/>
  </cols>
  <sheetData>
    <row r="3" spans="1:2" x14ac:dyDescent="0.25">
      <c r="A3" s="3" t="s">
        <v>2044</v>
      </c>
      <c r="B3" t="s">
        <v>2041</v>
      </c>
    </row>
    <row r="4" spans="1:2" x14ac:dyDescent="0.25">
      <c r="A4" s="4" t="s">
        <v>27</v>
      </c>
      <c r="B4" s="2">
        <v>821</v>
      </c>
    </row>
    <row r="5" spans="1:2" x14ac:dyDescent="0.25">
      <c r="A5" s="4" t="s">
        <v>39</v>
      </c>
      <c r="B5" s="2">
        <v>179</v>
      </c>
    </row>
    <row r="6" spans="1:2" x14ac:dyDescent="0.25">
      <c r="A6" s="4" t="s">
        <v>2045</v>
      </c>
      <c r="B6" s="2">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
    </sheetView>
  </sheetViews>
  <sheetFormatPr defaultRowHeight="15" x14ac:dyDescent="0.25"/>
  <cols>
    <col min="1" max="1" width="13.140625" bestFit="1" customWidth="1"/>
    <col min="2" max="2" width="16.140625" bestFit="1" customWidth="1"/>
  </cols>
  <sheetData>
    <row r="3" spans="1:2" x14ac:dyDescent="0.25">
      <c r="A3" s="3" t="s">
        <v>2044</v>
      </c>
      <c r="B3" t="s">
        <v>2041</v>
      </c>
    </row>
    <row r="4" spans="1:2" x14ac:dyDescent="0.25">
      <c r="A4" s="4" t="s">
        <v>31</v>
      </c>
      <c r="B4" s="2">
        <v>523</v>
      </c>
    </row>
    <row r="5" spans="1:2" x14ac:dyDescent="0.25">
      <c r="A5" s="4" t="s">
        <v>21</v>
      </c>
      <c r="B5" s="2">
        <v>477</v>
      </c>
    </row>
    <row r="6" spans="1:2" x14ac:dyDescent="0.25">
      <c r="A6" s="4" t="s">
        <v>2045</v>
      </c>
      <c r="B6" s="2">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B1" workbookViewId="0">
      <selection activeCell="A3" sqref="A3"/>
    </sheetView>
  </sheetViews>
  <sheetFormatPr defaultRowHeight="15" x14ac:dyDescent="0.25"/>
  <cols>
    <col min="1" max="1" width="13.85546875" customWidth="1"/>
    <col min="2" max="2" width="16.140625" bestFit="1" customWidth="1"/>
  </cols>
  <sheetData>
    <row r="3" spans="1:2" x14ac:dyDescent="0.25">
      <c r="A3" s="3" t="s">
        <v>2044</v>
      </c>
      <c r="B3" t="s">
        <v>2041</v>
      </c>
    </row>
    <row r="4" spans="1:2" x14ac:dyDescent="0.25">
      <c r="A4" s="4" t="s">
        <v>24</v>
      </c>
      <c r="B4" s="2">
        <v>494</v>
      </c>
    </row>
    <row r="5" spans="1:2" x14ac:dyDescent="0.25">
      <c r="A5" s="4" t="s">
        <v>33</v>
      </c>
      <c r="B5" s="2">
        <v>506</v>
      </c>
    </row>
    <row r="6" spans="1:2" x14ac:dyDescent="0.25">
      <c r="A6" s="4" t="s">
        <v>2045</v>
      </c>
      <c r="B6" s="2">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5" x14ac:dyDescent="0.25"/>
  <cols>
    <col min="1" max="1" width="13.140625" customWidth="1"/>
    <col min="2" max="2" width="16.140625" bestFit="1" customWidth="1"/>
  </cols>
  <sheetData>
    <row r="3" spans="1:2" x14ac:dyDescent="0.25">
      <c r="A3" s="3" t="s">
        <v>2044</v>
      </c>
      <c r="B3" t="s">
        <v>2041</v>
      </c>
    </row>
    <row r="4" spans="1:2" x14ac:dyDescent="0.25">
      <c r="A4" s="4" t="s">
        <v>34</v>
      </c>
      <c r="B4" s="2">
        <v>151</v>
      </c>
    </row>
    <row r="5" spans="1:2" x14ac:dyDescent="0.25">
      <c r="A5" s="4" t="s">
        <v>104</v>
      </c>
      <c r="B5" s="2">
        <v>150</v>
      </c>
    </row>
    <row r="6" spans="1:2" x14ac:dyDescent="0.25">
      <c r="A6" s="4" t="s">
        <v>38</v>
      </c>
      <c r="B6" s="2">
        <v>161</v>
      </c>
    </row>
    <row r="7" spans="1:2" x14ac:dyDescent="0.25">
      <c r="A7" s="4" t="s">
        <v>26</v>
      </c>
      <c r="B7" s="2">
        <v>173</v>
      </c>
    </row>
    <row r="8" spans="1:2" x14ac:dyDescent="0.25">
      <c r="A8" s="4" t="s">
        <v>51</v>
      </c>
      <c r="B8" s="2">
        <v>172</v>
      </c>
    </row>
    <row r="9" spans="1:2" x14ac:dyDescent="0.25">
      <c r="A9" s="4" t="s">
        <v>44</v>
      </c>
      <c r="B9" s="2">
        <v>193</v>
      </c>
    </row>
    <row r="10" spans="1:2" x14ac:dyDescent="0.25">
      <c r="A10" s="4" t="s">
        <v>2045</v>
      </c>
      <c r="B10" s="2">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5" x14ac:dyDescent="0.25"/>
  <cols>
    <col min="1" max="1" width="13.140625" bestFit="1" customWidth="1"/>
    <col min="2" max="2" width="16.140625" bestFit="1" customWidth="1"/>
  </cols>
  <sheetData>
    <row r="3" spans="1:2" x14ac:dyDescent="0.25">
      <c r="A3" s="3" t="s">
        <v>2044</v>
      </c>
      <c r="B3" t="s">
        <v>2041</v>
      </c>
    </row>
    <row r="4" spans="1:2" x14ac:dyDescent="0.25">
      <c r="A4" s="4" t="s">
        <v>43</v>
      </c>
      <c r="B4" s="2">
        <v>210</v>
      </c>
    </row>
    <row r="5" spans="1:2" x14ac:dyDescent="0.25">
      <c r="A5" s="4" t="s">
        <v>25</v>
      </c>
      <c r="B5" s="2">
        <v>200</v>
      </c>
    </row>
    <row r="6" spans="1:2" x14ac:dyDescent="0.25">
      <c r="A6" s="4" t="s">
        <v>5</v>
      </c>
      <c r="B6" s="2">
        <v>201</v>
      </c>
    </row>
    <row r="7" spans="1:2" x14ac:dyDescent="0.25">
      <c r="A7" s="4" t="s">
        <v>54</v>
      </c>
      <c r="B7" s="2">
        <v>204</v>
      </c>
    </row>
    <row r="8" spans="1:2" x14ac:dyDescent="0.25">
      <c r="A8" s="4" t="s">
        <v>57</v>
      </c>
      <c r="B8" s="2">
        <v>185</v>
      </c>
    </row>
    <row r="9" spans="1:2" x14ac:dyDescent="0.25">
      <c r="A9" s="4" t="s">
        <v>2045</v>
      </c>
      <c r="B9" s="2">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H5" sqref="H5"/>
    </sheetView>
  </sheetViews>
  <sheetFormatPr defaultRowHeight="15" x14ac:dyDescent="0.25"/>
  <cols>
    <col min="1" max="1" width="13.140625" bestFit="1" customWidth="1"/>
    <col min="2" max="2" width="16.140625" bestFit="1" customWidth="1"/>
  </cols>
  <sheetData>
    <row r="3" spans="1:2" x14ac:dyDescent="0.25">
      <c r="A3" s="3" t="s">
        <v>2044</v>
      </c>
      <c r="B3" t="s">
        <v>2041</v>
      </c>
    </row>
    <row r="4" spans="1:2" x14ac:dyDescent="0.25">
      <c r="A4" s="4" t="s">
        <v>28</v>
      </c>
      <c r="B4" s="2">
        <v>943</v>
      </c>
    </row>
    <row r="5" spans="1:2" x14ac:dyDescent="0.25">
      <c r="A5" s="4" t="s">
        <v>35</v>
      </c>
      <c r="B5" s="2">
        <v>57</v>
      </c>
    </row>
    <row r="6" spans="1:2" x14ac:dyDescent="0.25">
      <c r="A6" s="4" t="s">
        <v>2045</v>
      </c>
      <c r="B6" s="2">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workbookViewId="0">
      <selection sqref="A1:H1048576"/>
    </sheetView>
  </sheetViews>
  <sheetFormatPr defaultRowHeight="15" x14ac:dyDescent="0.25"/>
  <cols>
    <col min="1" max="1" width="10.140625" style="5" customWidth="1"/>
    <col min="2" max="2" width="14.5703125" style="5" customWidth="1"/>
    <col min="3" max="3" width="9.85546875" style="5" customWidth="1"/>
    <col min="4" max="4" width="9.140625" style="5" customWidth="1"/>
    <col min="5" max="5" width="16" style="5" customWidth="1"/>
    <col min="6" max="6" width="11.85546875" style="5" customWidth="1"/>
    <col min="7" max="7" width="14.42578125" style="5" customWidth="1"/>
    <col min="8" max="8" width="17" style="5" customWidth="1"/>
    <col min="9" max="9" width="14.42578125" customWidth="1"/>
    <col min="10" max="10" width="15.42578125" customWidth="1"/>
    <col min="11" max="11" width="20.7109375" customWidth="1"/>
    <col min="12" max="12" width="15.140625" customWidth="1"/>
    <col min="13" max="13" width="10.42578125" customWidth="1"/>
    <col min="15" max="15" width="13.7109375" customWidth="1"/>
    <col min="17" max="17" width="21.85546875" customWidth="1"/>
    <col min="18" max="18" width="9.7109375" customWidth="1"/>
    <col min="19" max="19" width="18.42578125" customWidth="1"/>
  </cols>
  <sheetData>
    <row r="1" spans="1:19" x14ac:dyDescent="0.25">
      <c r="A1" s="5" t="s">
        <v>0</v>
      </c>
      <c r="B1" s="5" t="s">
        <v>1</v>
      </c>
      <c r="C1" s="5" t="s">
        <v>2</v>
      </c>
      <c r="D1" s="5" t="s">
        <v>3</v>
      </c>
      <c r="E1" s="5" t="s">
        <v>4</v>
      </c>
      <c r="F1" s="5" t="s">
        <v>5</v>
      </c>
      <c r="G1" s="5" t="s">
        <v>6</v>
      </c>
      <c r="H1" s="5" t="s">
        <v>7</v>
      </c>
      <c r="I1" t="s">
        <v>8</v>
      </c>
      <c r="J1" t="s">
        <v>9</v>
      </c>
      <c r="K1" t="s">
        <v>10</v>
      </c>
      <c r="L1" t="s">
        <v>11</v>
      </c>
      <c r="M1" t="s">
        <v>12</v>
      </c>
      <c r="N1" t="s">
        <v>13</v>
      </c>
      <c r="O1" t="s">
        <v>14</v>
      </c>
      <c r="P1" t="s">
        <v>15</v>
      </c>
      <c r="Q1" t="s">
        <v>16</v>
      </c>
      <c r="R1" t="s">
        <v>17</v>
      </c>
      <c r="S1" t="s">
        <v>18</v>
      </c>
    </row>
    <row r="2" spans="1:19" x14ac:dyDescent="0.25">
      <c r="A2" s="5" t="s">
        <v>19</v>
      </c>
      <c r="B2" s="5" t="s">
        <v>20</v>
      </c>
      <c r="C2" s="5" t="s">
        <v>21</v>
      </c>
      <c r="D2" s="5">
        <v>49</v>
      </c>
      <c r="E2" s="5" t="s">
        <v>22</v>
      </c>
      <c r="F2" s="5" t="s">
        <v>23</v>
      </c>
      <c r="G2" s="5" t="s">
        <v>24</v>
      </c>
      <c r="H2" s="5">
        <v>428226</v>
      </c>
      <c r="I2">
        <v>758</v>
      </c>
      <c r="J2">
        <v>583828</v>
      </c>
      <c r="K2">
        <v>120</v>
      </c>
      <c r="L2">
        <v>14.21</v>
      </c>
      <c r="M2" t="s">
        <v>25</v>
      </c>
      <c r="N2" t="s">
        <v>26</v>
      </c>
      <c r="O2" t="s">
        <v>27</v>
      </c>
      <c r="P2">
        <v>5556.58</v>
      </c>
      <c r="Q2">
        <v>179894.29</v>
      </c>
      <c r="R2" t="s">
        <v>28</v>
      </c>
      <c r="S2" s="1">
        <v>45580</v>
      </c>
    </row>
    <row r="3" spans="1:19" x14ac:dyDescent="0.25">
      <c r="A3" s="5" t="s">
        <v>29</v>
      </c>
      <c r="B3" s="5" t="s">
        <v>30</v>
      </c>
      <c r="C3" s="5" t="s">
        <v>31</v>
      </c>
      <c r="D3" s="5">
        <v>57</v>
      </c>
      <c r="E3" s="5" t="s">
        <v>32</v>
      </c>
      <c r="F3" s="5" t="s">
        <v>23</v>
      </c>
      <c r="G3" s="5" t="s">
        <v>33</v>
      </c>
      <c r="H3" s="5">
        <v>284432</v>
      </c>
      <c r="I3">
        <v>616</v>
      </c>
      <c r="J3">
        <v>1325840</v>
      </c>
      <c r="K3">
        <v>24</v>
      </c>
      <c r="L3">
        <v>10.69</v>
      </c>
      <c r="M3" t="s">
        <v>5</v>
      </c>
      <c r="N3" t="s">
        <v>34</v>
      </c>
      <c r="O3" t="s">
        <v>27</v>
      </c>
      <c r="P3">
        <v>61148.85</v>
      </c>
      <c r="Q3">
        <v>834581.57</v>
      </c>
      <c r="R3" t="s">
        <v>35</v>
      </c>
      <c r="S3" s="1">
        <v>45728</v>
      </c>
    </row>
    <row r="4" spans="1:19" x14ac:dyDescent="0.25">
      <c r="A4" s="5" t="s">
        <v>36</v>
      </c>
      <c r="B4" s="5" t="s">
        <v>37</v>
      </c>
      <c r="C4" s="5" t="s">
        <v>21</v>
      </c>
      <c r="D4" s="5">
        <v>59</v>
      </c>
      <c r="E4" s="5" t="s">
        <v>32</v>
      </c>
      <c r="F4" s="5" t="s">
        <v>23</v>
      </c>
      <c r="G4" s="5" t="s">
        <v>33</v>
      </c>
      <c r="H4" s="5">
        <v>975380</v>
      </c>
      <c r="I4">
        <v>567</v>
      </c>
      <c r="J4">
        <v>1364285</v>
      </c>
      <c r="K4">
        <v>12</v>
      </c>
      <c r="L4">
        <v>14.39</v>
      </c>
      <c r="M4" t="s">
        <v>5</v>
      </c>
      <c r="N4" t="s">
        <v>38</v>
      </c>
      <c r="O4" t="s">
        <v>39</v>
      </c>
      <c r="P4">
        <v>130050.47</v>
      </c>
      <c r="Q4">
        <v>429844.27</v>
      </c>
      <c r="R4" t="s">
        <v>28</v>
      </c>
      <c r="S4" s="1">
        <v>45566</v>
      </c>
    </row>
    <row r="5" spans="1:19" x14ac:dyDescent="0.25">
      <c r="A5" s="5" t="s">
        <v>40</v>
      </c>
      <c r="B5" s="5" t="s">
        <v>41</v>
      </c>
      <c r="C5" s="5" t="s">
        <v>21</v>
      </c>
      <c r="D5" s="5">
        <v>36</v>
      </c>
      <c r="E5" s="5" t="s">
        <v>22</v>
      </c>
      <c r="F5" s="5" t="s">
        <v>42</v>
      </c>
      <c r="G5" s="5" t="s">
        <v>33</v>
      </c>
      <c r="H5" s="5">
        <v>1431891</v>
      </c>
      <c r="I5">
        <v>682</v>
      </c>
      <c r="J5">
        <v>1087701</v>
      </c>
      <c r="K5">
        <v>60</v>
      </c>
      <c r="L5">
        <v>8.86</v>
      </c>
      <c r="M5" t="s">
        <v>43</v>
      </c>
      <c r="N5" t="s">
        <v>44</v>
      </c>
      <c r="O5" t="s">
        <v>27</v>
      </c>
      <c r="P5">
        <v>19734.52</v>
      </c>
      <c r="Q5">
        <v>597128.63</v>
      </c>
      <c r="R5" t="s">
        <v>28</v>
      </c>
      <c r="S5" s="1">
        <v>45429</v>
      </c>
    </row>
    <row r="6" spans="1:19" x14ac:dyDescent="0.25">
      <c r="A6" s="5" t="s">
        <v>45</v>
      </c>
      <c r="B6" s="5" t="s">
        <v>46</v>
      </c>
      <c r="C6" s="5" t="s">
        <v>31</v>
      </c>
      <c r="D6" s="5">
        <v>44</v>
      </c>
      <c r="E6" s="5" t="s">
        <v>22</v>
      </c>
      <c r="F6" s="5" t="s">
        <v>42</v>
      </c>
      <c r="G6" s="5" t="s">
        <v>24</v>
      </c>
      <c r="H6" s="5">
        <v>863038</v>
      </c>
      <c r="I6">
        <v>551</v>
      </c>
      <c r="J6">
        <v>793809</v>
      </c>
      <c r="K6">
        <v>84</v>
      </c>
      <c r="L6">
        <v>12.8</v>
      </c>
      <c r="M6" t="s">
        <v>25</v>
      </c>
      <c r="N6" t="s">
        <v>26</v>
      </c>
      <c r="O6" t="s">
        <v>27</v>
      </c>
      <c r="P6">
        <v>10659.72</v>
      </c>
      <c r="Q6">
        <v>240486.2</v>
      </c>
      <c r="R6" t="s">
        <v>35</v>
      </c>
      <c r="S6" s="1">
        <v>45822</v>
      </c>
    </row>
    <row r="7" spans="1:19" x14ac:dyDescent="0.25">
      <c r="A7" s="5" t="s">
        <v>47</v>
      </c>
      <c r="B7" s="5" t="s">
        <v>48</v>
      </c>
      <c r="C7" s="5" t="s">
        <v>21</v>
      </c>
      <c r="D7" s="5">
        <v>51</v>
      </c>
      <c r="E7" s="5" t="s">
        <v>22</v>
      </c>
      <c r="F7" s="5" t="s">
        <v>42</v>
      </c>
      <c r="G7" s="5" t="s">
        <v>24</v>
      </c>
      <c r="H7" s="5">
        <v>431137</v>
      </c>
      <c r="I7">
        <v>731</v>
      </c>
      <c r="J7">
        <v>1633953</v>
      </c>
      <c r="K7">
        <v>12</v>
      </c>
      <c r="L7">
        <v>15.49</v>
      </c>
      <c r="M7" t="s">
        <v>25</v>
      </c>
      <c r="N7" t="s">
        <v>44</v>
      </c>
      <c r="O7" t="s">
        <v>27</v>
      </c>
      <c r="P7">
        <v>157254.35999999999</v>
      </c>
      <c r="Q7">
        <v>291078.18</v>
      </c>
      <c r="R7" t="s">
        <v>28</v>
      </c>
      <c r="S7" s="1">
        <v>45878</v>
      </c>
    </row>
    <row r="8" spans="1:19" x14ac:dyDescent="0.25">
      <c r="A8" s="5" t="s">
        <v>49</v>
      </c>
      <c r="B8" s="5" t="s">
        <v>50</v>
      </c>
      <c r="C8" s="5" t="s">
        <v>31</v>
      </c>
      <c r="D8" s="5">
        <v>43</v>
      </c>
      <c r="E8" s="5" t="s">
        <v>32</v>
      </c>
      <c r="F8" s="5" t="s">
        <v>23</v>
      </c>
      <c r="G8" s="5" t="s">
        <v>33</v>
      </c>
      <c r="H8" s="5">
        <v>1707572</v>
      </c>
      <c r="I8">
        <v>840</v>
      </c>
      <c r="J8">
        <v>1816885</v>
      </c>
      <c r="K8">
        <v>24</v>
      </c>
      <c r="L8">
        <v>7.78</v>
      </c>
      <c r="M8" t="s">
        <v>5</v>
      </c>
      <c r="N8" t="s">
        <v>51</v>
      </c>
      <c r="O8" t="s">
        <v>27</v>
      </c>
      <c r="P8">
        <v>81593.279999999999</v>
      </c>
      <c r="Q8">
        <v>1776533.55</v>
      </c>
      <c r="R8" t="s">
        <v>28</v>
      </c>
      <c r="S8" s="1">
        <v>45947</v>
      </c>
    </row>
    <row r="9" spans="1:19" x14ac:dyDescent="0.25">
      <c r="A9" s="5" t="s">
        <v>52</v>
      </c>
      <c r="B9" s="5" t="s">
        <v>53</v>
      </c>
      <c r="C9" s="5" t="s">
        <v>21</v>
      </c>
      <c r="D9" s="5">
        <v>49</v>
      </c>
      <c r="E9" s="5" t="s">
        <v>22</v>
      </c>
      <c r="F9" s="5" t="s">
        <v>23</v>
      </c>
      <c r="G9" s="5" t="s">
        <v>24</v>
      </c>
      <c r="H9" s="5">
        <v>808134</v>
      </c>
      <c r="I9">
        <v>780</v>
      </c>
      <c r="J9">
        <v>1375134</v>
      </c>
      <c r="K9">
        <v>180</v>
      </c>
      <c r="L9">
        <v>12.21</v>
      </c>
      <c r="M9" t="s">
        <v>54</v>
      </c>
      <c r="N9" t="s">
        <v>38</v>
      </c>
      <c r="O9" t="s">
        <v>27</v>
      </c>
      <c r="P9">
        <v>8572.43</v>
      </c>
      <c r="Q9">
        <v>238362.9</v>
      </c>
      <c r="R9" t="s">
        <v>28</v>
      </c>
      <c r="S9" s="1">
        <v>45375</v>
      </c>
    </row>
    <row r="10" spans="1:19" x14ac:dyDescent="0.25">
      <c r="A10" s="5" t="s">
        <v>55</v>
      </c>
      <c r="B10" s="5" t="s">
        <v>56</v>
      </c>
      <c r="C10" s="5" t="s">
        <v>31</v>
      </c>
      <c r="D10" s="5">
        <v>31</v>
      </c>
      <c r="E10" s="5" t="s">
        <v>22</v>
      </c>
      <c r="F10" s="5" t="s">
        <v>23</v>
      </c>
      <c r="G10" s="5" t="s">
        <v>24</v>
      </c>
      <c r="H10" s="5">
        <v>1826629</v>
      </c>
      <c r="I10">
        <v>640</v>
      </c>
      <c r="J10">
        <v>536062</v>
      </c>
      <c r="K10">
        <v>84</v>
      </c>
      <c r="L10">
        <v>9.9700000000000006</v>
      </c>
      <c r="M10" t="s">
        <v>57</v>
      </c>
      <c r="N10" t="s">
        <v>44</v>
      </c>
      <c r="O10" t="s">
        <v>39</v>
      </c>
      <c r="P10">
        <v>7017.95</v>
      </c>
      <c r="Q10">
        <v>239297.45</v>
      </c>
      <c r="R10" t="s">
        <v>28</v>
      </c>
      <c r="S10" s="1">
        <v>45492</v>
      </c>
    </row>
    <row r="11" spans="1:19" x14ac:dyDescent="0.25">
      <c r="A11" s="5" t="s">
        <v>58</v>
      </c>
      <c r="B11" s="5" t="s">
        <v>59</v>
      </c>
      <c r="C11" s="5" t="s">
        <v>31</v>
      </c>
      <c r="D11" s="5">
        <v>30</v>
      </c>
      <c r="E11" s="5" t="s">
        <v>32</v>
      </c>
      <c r="F11" s="5" t="s">
        <v>23</v>
      </c>
      <c r="G11" s="5" t="s">
        <v>33</v>
      </c>
      <c r="H11" s="5">
        <v>1780515</v>
      </c>
      <c r="I11">
        <v>738</v>
      </c>
      <c r="J11">
        <v>1249680</v>
      </c>
      <c r="K11">
        <v>12</v>
      </c>
      <c r="L11">
        <v>9.6300000000000008</v>
      </c>
      <c r="M11" t="s">
        <v>54</v>
      </c>
      <c r="N11" t="s">
        <v>34</v>
      </c>
      <c r="O11" t="s">
        <v>27</v>
      </c>
      <c r="P11">
        <v>114168.68</v>
      </c>
      <c r="Q11">
        <v>248190.81</v>
      </c>
      <c r="R11" t="s">
        <v>28</v>
      </c>
      <c r="S11" s="1">
        <v>45864</v>
      </c>
    </row>
    <row r="12" spans="1:19" x14ac:dyDescent="0.25">
      <c r="A12" s="5" t="s">
        <v>60</v>
      </c>
      <c r="B12" s="5" t="s">
        <v>61</v>
      </c>
      <c r="C12" s="5" t="s">
        <v>31</v>
      </c>
      <c r="D12" s="5">
        <v>43</v>
      </c>
      <c r="E12" s="5" t="s">
        <v>32</v>
      </c>
      <c r="F12" s="5" t="s">
        <v>42</v>
      </c>
      <c r="G12" s="5" t="s">
        <v>24</v>
      </c>
      <c r="H12" s="5">
        <v>1358249</v>
      </c>
      <c r="I12">
        <v>731</v>
      </c>
      <c r="J12">
        <v>222251</v>
      </c>
      <c r="K12">
        <v>60</v>
      </c>
      <c r="L12">
        <v>10.08</v>
      </c>
      <c r="M12" t="s">
        <v>54</v>
      </c>
      <c r="N12" t="s">
        <v>44</v>
      </c>
      <c r="O12" t="s">
        <v>27</v>
      </c>
      <c r="P12">
        <v>4077.57</v>
      </c>
      <c r="Q12">
        <v>159605.10999999999</v>
      </c>
      <c r="R12" t="s">
        <v>28</v>
      </c>
      <c r="S12" s="1">
        <v>45488</v>
      </c>
    </row>
    <row r="13" spans="1:19" x14ac:dyDescent="0.25">
      <c r="A13" s="5" t="s">
        <v>62</v>
      </c>
      <c r="B13" s="5" t="s">
        <v>63</v>
      </c>
      <c r="C13" s="5" t="s">
        <v>31</v>
      </c>
      <c r="D13" s="5">
        <v>22</v>
      </c>
      <c r="E13" s="5" t="s">
        <v>22</v>
      </c>
      <c r="F13" s="5" t="s">
        <v>23</v>
      </c>
      <c r="G13" s="5" t="s">
        <v>33</v>
      </c>
      <c r="H13" s="5">
        <v>1222218</v>
      </c>
      <c r="I13">
        <v>717</v>
      </c>
      <c r="J13">
        <v>1706250</v>
      </c>
      <c r="K13">
        <v>60</v>
      </c>
      <c r="L13">
        <v>10.14</v>
      </c>
      <c r="M13" t="s">
        <v>5</v>
      </c>
      <c r="N13" t="s">
        <v>26</v>
      </c>
      <c r="O13" t="s">
        <v>27</v>
      </c>
      <c r="P13">
        <v>31321.06</v>
      </c>
      <c r="Q13">
        <v>1009239.67</v>
      </c>
      <c r="R13" t="s">
        <v>28</v>
      </c>
      <c r="S13" s="1">
        <v>45449</v>
      </c>
    </row>
    <row r="14" spans="1:19" x14ac:dyDescent="0.25">
      <c r="A14" s="5" t="s">
        <v>64</v>
      </c>
      <c r="B14" s="5" t="s">
        <v>65</v>
      </c>
      <c r="C14" s="5" t="s">
        <v>31</v>
      </c>
      <c r="D14" s="5">
        <v>33</v>
      </c>
      <c r="E14" s="5" t="s">
        <v>32</v>
      </c>
      <c r="F14" s="5" t="s">
        <v>42</v>
      </c>
      <c r="G14" s="5" t="s">
        <v>24</v>
      </c>
      <c r="H14" s="5">
        <v>1505735</v>
      </c>
      <c r="I14">
        <v>726</v>
      </c>
      <c r="J14">
        <v>286970</v>
      </c>
      <c r="K14">
        <v>24</v>
      </c>
      <c r="L14">
        <v>13.17</v>
      </c>
      <c r="M14" t="s">
        <v>57</v>
      </c>
      <c r="N14" t="s">
        <v>51</v>
      </c>
      <c r="O14" t="s">
        <v>27</v>
      </c>
      <c r="P14">
        <v>13531.83</v>
      </c>
      <c r="Q14">
        <v>254399.19</v>
      </c>
      <c r="R14" t="s">
        <v>28</v>
      </c>
      <c r="S14" s="1">
        <v>45952</v>
      </c>
    </row>
    <row r="15" spans="1:19" x14ac:dyDescent="0.25">
      <c r="A15" s="5" t="s">
        <v>66</v>
      </c>
      <c r="B15" s="5" t="s">
        <v>67</v>
      </c>
      <c r="C15" s="5" t="s">
        <v>31</v>
      </c>
      <c r="D15" s="5">
        <v>41</v>
      </c>
      <c r="E15" s="5" t="s">
        <v>32</v>
      </c>
      <c r="F15" s="5" t="s">
        <v>42</v>
      </c>
      <c r="G15" s="5" t="s">
        <v>33</v>
      </c>
      <c r="H15" s="5">
        <v>1431418</v>
      </c>
      <c r="I15">
        <v>738</v>
      </c>
      <c r="J15">
        <v>1947540</v>
      </c>
      <c r="K15">
        <v>84</v>
      </c>
      <c r="L15">
        <v>9.77</v>
      </c>
      <c r="M15" t="s">
        <v>54</v>
      </c>
      <c r="N15" t="s">
        <v>38</v>
      </c>
      <c r="O15" t="s">
        <v>27</v>
      </c>
      <c r="P15">
        <v>25450.17</v>
      </c>
      <c r="Q15">
        <v>655200.80000000005</v>
      </c>
      <c r="R15" t="s">
        <v>28</v>
      </c>
      <c r="S15" s="1">
        <v>45776</v>
      </c>
    </row>
    <row r="16" spans="1:19" x14ac:dyDescent="0.25">
      <c r="A16" s="5" t="s">
        <v>68</v>
      </c>
      <c r="B16" s="5" t="s">
        <v>69</v>
      </c>
      <c r="C16" s="5" t="s">
        <v>31</v>
      </c>
      <c r="D16" s="5">
        <v>48</v>
      </c>
      <c r="E16" s="5" t="s">
        <v>22</v>
      </c>
      <c r="F16" s="5" t="s">
        <v>42</v>
      </c>
      <c r="G16" s="5" t="s">
        <v>24</v>
      </c>
      <c r="H16" s="5">
        <v>1319401</v>
      </c>
      <c r="I16">
        <v>807</v>
      </c>
      <c r="J16">
        <v>1554567</v>
      </c>
      <c r="K16">
        <v>24</v>
      </c>
      <c r="L16">
        <v>9.4499999999999993</v>
      </c>
      <c r="M16" t="s">
        <v>57</v>
      </c>
      <c r="N16" t="s">
        <v>38</v>
      </c>
      <c r="O16" t="s">
        <v>27</v>
      </c>
      <c r="P16">
        <v>70894.73</v>
      </c>
      <c r="Q16">
        <v>273288.25</v>
      </c>
      <c r="R16" t="s">
        <v>28</v>
      </c>
      <c r="S16" s="1">
        <v>45483</v>
      </c>
    </row>
    <row r="17" spans="1:19" x14ac:dyDescent="0.25">
      <c r="A17" s="5" t="s">
        <v>70</v>
      </c>
      <c r="B17" s="5" t="s">
        <v>71</v>
      </c>
      <c r="C17" s="5" t="s">
        <v>21</v>
      </c>
      <c r="D17" s="5">
        <v>54</v>
      </c>
      <c r="E17" s="5" t="s">
        <v>32</v>
      </c>
      <c r="F17" s="5" t="s">
        <v>42</v>
      </c>
      <c r="G17" s="5" t="s">
        <v>33</v>
      </c>
      <c r="H17" s="5">
        <v>713290</v>
      </c>
      <c r="I17">
        <v>801</v>
      </c>
      <c r="J17">
        <v>588765</v>
      </c>
      <c r="K17">
        <v>48</v>
      </c>
      <c r="L17">
        <v>12.05</v>
      </c>
      <c r="M17" t="s">
        <v>54</v>
      </c>
      <c r="N17" t="s">
        <v>51</v>
      </c>
      <c r="O17" t="s">
        <v>27</v>
      </c>
      <c r="P17">
        <v>13743.98</v>
      </c>
      <c r="Q17">
        <v>518964.87</v>
      </c>
      <c r="R17" t="s">
        <v>28</v>
      </c>
      <c r="S17" s="1">
        <v>45458</v>
      </c>
    </row>
    <row r="18" spans="1:19" x14ac:dyDescent="0.25">
      <c r="A18" s="5" t="s">
        <v>72</v>
      </c>
      <c r="B18" s="5" t="s">
        <v>73</v>
      </c>
      <c r="C18" s="5" t="s">
        <v>31</v>
      </c>
      <c r="D18" s="5">
        <v>30</v>
      </c>
      <c r="E18" s="5" t="s">
        <v>32</v>
      </c>
      <c r="F18" s="5" t="s">
        <v>23</v>
      </c>
      <c r="G18" s="5" t="s">
        <v>33</v>
      </c>
      <c r="H18" s="5">
        <v>613823</v>
      </c>
      <c r="I18">
        <v>711</v>
      </c>
      <c r="J18">
        <v>458478</v>
      </c>
      <c r="K18">
        <v>84</v>
      </c>
      <c r="L18">
        <v>9.23</v>
      </c>
      <c r="M18" t="s">
        <v>54</v>
      </c>
      <c r="N18" t="s">
        <v>44</v>
      </c>
      <c r="O18" t="s">
        <v>27</v>
      </c>
      <c r="P18">
        <v>5961.85</v>
      </c>
      <c r="Q18">
        <v>128359.88</v>
      </c>
      <c r="R18" t="s">
        <v>28</v>
      </c>
      <c r="S18" s="1">
        <v>45600</v>
      </c>
    </row>
    <row r="19" spans="1:19" x14ac:dyDescent="0.25">
      <c r="A19" s="5" t="s">
        <v>74</v>
      </c>
      <c r="B19" s="5" t="s">
        <v>75</v>
      </c>
      <c r="C19" s="5" t="s">
        <v>21</v>
      </c>
      <c r="D19" s="5">
        <v>48</v>
      </c>
      <c r="E19" s="5" t="s">
        <v>32</v>
      </c>
      <c r="F19" s="5" t="s">
        <v>23</v>
      </c>
      <c r="G19" s="5" t="s">
        <v>33</v>
      </c>
      <c r="H19" s="5">
        <v>784434</v>
      </c>
      <c r="I19">
        <v>833</v>
      </c>
      <c r="J19">
        <v>967187</v>
      </c>
      <c r="K19">
        <v>24</v>
      </c>
      <c r="L19">
        <v>14.89</v>
      </c>
      <c r="M19" t="s">
        <v>54</v>
      </c>
      <c r="N19" t="s">
        <v>51</v>
      </c>
      <c r="O19" t="s">
        <v>27</v>
      </c>
      <c r="P19">
        <v>46300.05</v>
      </c>
      <c r="Q19">
        <v>765589.12</v>
      </c>
      <c r="R19" t="s">
        <v>28</v>
      </c>
      <c r="S19" s="1">
        <v>45901</v>
      </c>
    </row>
    <row r="20" spans="1:19" x14ac:dyDescent="0.25">
      <c r="A20" s="5" t="s">
        <v>76</v>
      </c>
      <c r="B20" s="5" t="s">
        <v>77</v>
      </c>
      <c r="C20" s="5" t="s">
        <v>31</v>
      </c>
      <c r="D20" s="5">
        <v>22</v>
      </c>
      <c r="E20" s="5" t="s">
        <v>32</v>
      </c>
      <c r="F20" s="5" t="s">
        <v>42</v>
      </c>
      <c r="G20" s="5" t="s">
        <v>33</v>
      </c>
      <c r="H20" s="5">
        <v>1175262</v>
      </c>
      <c r="I20">
        <v>690</v>
      </c>
      <c r="J20">
        <v>144666</v>
      </c>
      <c r="K20">
        <v>60</v>
      </c>
      <c r="L20">
        <v>7.54</v>
      </c>
      <c r="M20" t="s">
        <v>25</v>
      </c>
      <c r="N20" t="s">
        <v>51</v>
      </c>
      <c r="O20" t="s">
        <v>27</v>
      </c>
      <c r="P20">
        <v>2592.9</v>
      </c>
      <c r="Q20">
        <v>57432.28</v>
      </c>
      <c r="R20" t="s">
        <v>28</v>
      </c>
      <c r="S20" s="1">
        <v>45595</v>
      </c>
    </row>
    <row r="21" spans="1:19" x14ac:dyDescent="0.25">
      <c r="A21" s="5" t="s">
        <v>78</v>
      </c>
      <c r="B21" s="5" t="s">
        <v>79</v>
      </c>
      <c r="C21" s="5" t="s">
        <v>31</v>
      </c>
      <c r="D21" s="5">
        <v>39</v>
      </c>
      <c r="E21" s="5" t="s">
        <v>32</v>
      </c>
      <c r="F21" s="5" t="s">
        <v>23</v>
      </c>
      <c r="G21" s="5" t="s">
        <v>24</v>
      </c>
      <c r="H21" s="5">
        <v>842071</v>
      </c>
      <c r="I21">
        <v>587</v>
      </c>
      <c r="J21">
        <v>1405091</v>
      </c>
      <c r="K21">
        <v>48</v>
      </c>
      <c r="L21">
        <v>8.93</v>
      </c>
      <c r="M21" t="s">
        <v>54</v>
      </c>
      <c r="N21" t="s">
        <v>51</v>
      </c>
      <c r="O21" t="s">
        <v>27</v>
      </c>
      <c r="P21">
        <v>31886.78</v>
      </c>
      <c r="Q21">
        <v>1343482.82</v>
      </c>
      <c r="R21" t="s">
        <v>35</v>
      </c>
      <c r="S21" s="1">
        <v>45458</v>
      </c>
    </row>
    <row r="22" spans="1:19" x14ac:dyDescent="0.25">
      <c r="A22" s="5" t="s">
        <v>80</v>
      </c>
      <c r="B22" s="5" t="s">
        <v>81</v>
      </c>
      <c r="C22" s="5" t="s">
        <v>21</v>
      </c>
      <c r="D22" s="5">
        <v>31</v>
      </c>
      <c r="E22" s="5" t="s">
        <v>22</v>
      </c>
      <c r="F22" s="5" t="s">
        <v>42</v>
      </c>
      <c r="G22" s="5" t="s">
        <v>33</v>
      </c>
      <c r="H22" s="5">
        <v>1141001</v>
      </c>
      <c r="I22">
        <v>593</v>
      </c>
      <c r="J22">
        <v>268825</v>
      </c>
      <c r="K22">
        <v>12</v>
      </c>
      <c r="L22">
        <v>12.99</v>
      </c>
      <c r="M22" t="s">
        <v>25</v>
      </c>
      <c r="N22" t="s">
        <v>26</v>
      </c>
      <c r="O22" t="s">
        <v>39</v>
      </c>
      <c r="P22">
        <v>25312.11</v>
      </c>
      <c r="Q22">
        <v>150985.84</v>
      </c>
      <c r="R22" t="s">
        <v>28</v>
      </c>
      <c r="S22" s="1">
        <v>45628</v>
      </c>
    </row>
    <row r="23" spans="1:19" x14ac:dyDescent="0.25">
      <c r="A23" s="5" t="s">
        <v>82</v>
      </c>
      <c r="B23" s="5" t="s">
        <v>83</v>
      </c>
      <c r="C23" s="5" t="s">
        <v>21</v>
      </c>
      <c r="D23" s="5">
        <v>49</v>
      </c>
      <c r="E23" s="5" t="s">
        <v>32</v>
      </c>
      <c r="F23" s="5" t="s">
        <v>42</v>
      </c>
      <c r="G23" s="5" t="s">
        <v>33</v>
      </c>
      <c r="H23" s="5">
        <v>1323666</v>
      </c>
      <c r="I23">
        <v>779</v>
      </c>
      <c r="J23">
        <v>1003253</v>
      </c>
      <c r="K23">
        <v>48</v>
      </c>
      <c r="L23">
        <v>13.6</v>
      </c>
      <c r="M23" t="s">
        <v>54</v>
      </c>
      <c r="N23" t="s">
        <v>26</v>
      </c>
      <c r="O23" t="s">
        <v>27</v>
      </c>
      <c r="P23">
        <v>23743.65</v>
      </c>
      <c r="Q23">
        <v>678715.58</v>
      </c>
      <c r="R23" t="s">
        <v>28</v>
      </c>
      <c r="S23" s="1">
        <v>45660</v>
      </c>
    </row>
    <row r="24" spans="1:19" x14ac:dyDescent="0.25">
      <c r="A24" s="5" t="s">
        <v>84</v>
      </c>
      <c r="B24" s="5" t="s">
        <v>85</v>
      </c>
      <c r="C24" s="5" t="s">
        <v>31</v>
      </c>
      <c r="D24" s="5">
        <v>54</v>
      </c>
      <c r="E24" s="5" t="s">
        <v>32</v>
      </c>
      <c r="F24" s="5" t="s">
        <v>23</v>
      </c>
      <c r="G24" s="5" t="s">
        <v>33</v>
      </c>
      <c r="H24" s="5">
        <v>1054665</v>
      </c>
      <c r="I24">
        <v>599</v>
      </c>
      <c r="J24">
        <v>1537426</v>
      </c>
      <c r="K24">
        <v>48</v>
      </c>
      <c r="L24">
        <v>12.4</v>
      </c>
      <c r="M24" t="s">
        <v>5</v>
      </c>
      <c r="N24" t="s">
        <v>44</v>
      </c>
      <c r="O24" t="s">
        <v>27</v>
      </c>
      <c r="P24">
        <v>36001.39</v>
      </c>
      <c r="Q24">
        <v>1060696.83</v>
      </c>
      <c r="R24" t="s">
        <v>35</v>
      </c>
      <c r="S24" s="1">
        <v>45472</v>
      </c>
    </row>
    <row r="25" spans="1:19" x14ac:dyDescent="0.25">
      <c r="A25" s="5" t="s">
        <v>86</v>
      </c>
      <c r="B25" s="5" t="s">
        <v>87</v>
      </c>
      <c r="C25" s="5" t="s">
        <v>21</v>
      </c>
      <c r="D25" s="5">
        <v>21</v>
      </c>
      <c r="E25" s="5" t="s">
        <v>32</v>
      </c>
      <c r="F25" s="5" t="s">
        <v>42</v>
      </c>
      <c r="G25" s="5" t="s">
        <v>24</v>
      </c>
      <c r="H25" s="5">
        <v>1172915</v>
      </c>
      <c r="I25">
        <v>830</v>
      </c>
      <c r="J25">
        <v>1968302</v>
      </c>
      <c r="K25">
        <v>60</v>
      </c>
      <c r="L25">
        <v>9.98</v>
      </c>
      <c r="M25" t="s">
        <v>43</v>
      </c>
      <c r="N25" t="s">
        <v>34</v>
      </c>
      <c r="O25" t="s">
        <v>27</v>
      </c>
      <c r="P25">
        <v>36078.980000000003</v>
      </c>
      <c r="Q25">
        <v>1801489.74</v>
      </c>
      <c r="R25" t="s">
        <v>28</v>
      </c>
      <c r="S25" s="1">
        <v>45985</v>
      </c>
    </row>
    <row r="26" spans="1:19" x14ac:dyDescent="0.25">
      <c r="A26" s="5" t="s">
        <v>88</v>
      </c>
      <c r="B26" s="5" t="s">
        <v>89</v>
      </c>
      <c r="C26" s="5" t="s">
        <v>31</v>
      </c>
      <c r="D26" s="5">
        <v>38</v>
      </c>
      <c r="E26" s="5" t="s">
        <v>32</v>
      </c>
      <c r="F26" s="5" t="s">
        <v>42</v>
      </c>
      <c r="G26" s="5" t="s">
        <v>24</v>
      </c>
      <c r="H26" s="5">
        <v>621564</v>
      </c>
      <c r="I26">
        <v>779</v>
      </c>
      <c r="J26">
        <v>1641784</v>
      </c>
      <c r="K26">
        <v>120</v>
      </c>
      <c r="L26">
        <v>14.1</v>
      </c>
      <c r="M26" t="s">
        <v>5</v>
      </c>
      <c r="N26" t="s">
        <v>34</v>
      </c>
      <c r="O26" t="s">
        <v>27</v>
      </c>
      <c r="P26">
        <v>15610.63</v>
      </c>
      <c r="Q26">
        <v>1070133.04</v>
      </c>
      <c r="R26" t="s">
        <v>28</v>
      </c>
      <c r="S26" s="1">
        <v>45343</v>
      </c>
    </row>
    <row r="27" spans="1:19" x14ac:dyDescent="0.25">
      <c r="A27" s="5" t="s">
        <v>90</v>
      </c>
      <c r="B27" s="5" t="s">
        <v>91</v>
      </c>
      <c r="C27" s="5" t="s">
        <v>31</v>
      </c>
      <c r="D27" s="5">
        <v>39</v>
      </c>
      <c r="E27" s="5" t="s">
        <v>22</v>
      </c>
      <c r="F27" s="5" t="s">
        <v>42</v>
      </c>
      <c r="G27" s="5" t="s">
        <v>33</v>
      </c>
      <c r="H27" s="5">
        <v>1354528</v>
      </c>
      <c r="I27">
        <v>808</v>
      </c>
      <c r="J27">
        <v>530723</v>
      </c>
      <c r="K27">
        <v>36</v>
      </c>
      <c r="L27">
        <v>9.2899999999999991</v>
      </c>
      <c r="M27" t="s">
        <v>5</v>
      </c>
      <c r="N27" t="s">
        <v>26</v>
      </c>
      <c r="O27" t="s">
        <v>27</v>
      </c>
      <c r="P27">
        <v>16111.87</v>
      </c>
      <c r="Q27">
        <v>528261.15</v>
      </c>
      <c r="R27" t="s">
        <v>28</v>
      </c>
      <c r="S27" s="1">
        <v>45512</v>
      </c>
    </row>
    <row r="28" spans="1:19" x14ac:dyDescent="0.25">
      <c r="A28" s="5" t="s">
        <v>92</v>
      </c>
      <c r="B28" s="5" t="s">
        <v>93</v>
      </c>
      <c r="C28" s="5" t="s">
        <v>21</v>
      </c>
      <c r="D28" s="5">
        <v>38</v>
      </c>
      <c r="E28" s="5" t="s">
        <v>22</v>
      </c>
      <c r="F28" s="5" t="s">
        <v>42</v>
      </c>
      <c r="G28" s="5" t="s">
        <v>33</v>
      </c>
      <c r="H28" s="5">
        <v>689459</v>
      </c>
      <c r="I28">
        <v>686</v>
      </c>
      <c r="J28">
        <v>777618</v>
      </c>
      <c r="K28">
        <v>24</v>
      </c>
      <c r="L28">
        <v>12.59</v>
      </c>
      <c r="M28" t="s">
        <v>43</v>
      </c>
      <c r="N28" t="s">
        <v>51</v>
      </c>
      <c r="O28" t="s">
        <v>27</v>
      </c>
      <c r="P28">
        <v>36480</v>
      </c>
      <c r="Q28">
        <v>287882.57</v>
      </c>
      <c r="R28" t="s">
        <v>28</v>
      </c>
      <c r="S28" s="1">
        <v>45920</v>
      </c>
    </row>
    <row r="29" spans="1:19" x14ac:dyDescent="0.25">
      <c r="A29" s="5" t="s">
        <v>94</v>
      </c>
      <c r="B29" s="5" t="s">
        <v>95</v>
      </c>
      <c r="C29" s="5" t="s">
        <v>31</v>
      </c>
      <c r="D29" s="5">
        <v>45</v>
      </c>
      <c r="E29" s="5" t="s">
        <v>22</v>
      </c>
      <c r="F29" s="5" t="s">
        <v>42</v>
      </c>
      <c r="G29" s="5" t="s">
        <v>24</v>
      </c>
      <c r="H29" s="5">
        <v>753679</v>
      </c>
      <c r="I29">
        <v>584</v>
      </c>
      <c r="J29">
        <v>1022230</v>
      </c>
      <c r="K29">
        <v>120</v>
      </c>
      <c r="L29">
        <v>10.14</v>
      </c>
      <c r="M29" t="s">
        <v>54</v>
      </c>
      <c r="N29" t="s">
        <v>38</v>
      </c>
      <c r="O29" t="s">
        <v>39</v>
      </c>
      <c r="P29">
        <v>9382.3700000000008</v>
      </c>
      <c r="Q29">
        <v>109149.2</v>
      </c>
      <c r="R29" t="s">
        <v>28</v>
      </c>
      <c r="S29" s="1">
        <v>45634</v>
      </c>
    </row>
    <row r="30" spans="1:19" x14ac:dyDescent="0.25">
      <c r="A30" s="5" t="s">
        <v>96</v>
      </c>
      <c r="B30" s="5" t="s">
        <v>97</v>
      </c>
      <c r="C30" s="5" t="s">
        <v>31</v>
      </c>
      <c r="D30" s="5">
        <v>25</v>
      </c>
      <c r="E30" s="5" t="s">
        <v>32</v>
      </c>
      <c r="F30" s="5" t="s">
        <v>42</v>
      </c>
      <c r="G30" s="5" t="s">
        <v>33</v>
      </c>
      <c r="H30" s="5">
        <v>869182</v>
      </c>
      <c r="I30">
        <v>737</v>
      </c>
      <c r="J30">
        <v>651468</v>
      </c>
      <c r="K30">
        <v>12</v>
      </c>
      <c r="L30">
        <v>12.72</v>
      </c>
      <c r="M30" t="s">
        <v>25</v>
      </c>
      <c r="N30" t="s">
        <v>34</v>
      </c>
      <c r="O30" t="s">
        <v>27</v>
      </c>
      <c r="P30">
        <v>61194.559999999998</v>
      </c>
      <c r="Q30">
        <v>111303.51</v>
      </c>
      <c r="R30" t="s">
        <v>28</v>
      </c>
      <c r="S30" s="1">
        <v>45407</v>
      </c>
    </row>
    <row r="31" spans="1:19" x14ac:dyDescent="0.25">
      <c r="A31" s="5" t="s">
        <v>98</v>
      </c>
      <c r="B31" s="5" t="s">
        <v>99</v>
      </c>
      <c r="C31" s="5" t="s">
        <v>21</v>
      </c>
      <c r="D31" s="5">
        <v>28</v>
      </c>
      <c r="E31" s="5" t="s">
        <v>32</v>
      </c>
      <c r="F31" s="5" t="s">
        <v>42</v>
      </c>
      <c r="G31" s="5" t="s">
        <v>24</v>
      </c>
      <c r="H31" s="5">
        <v>445261</v>
      </c>
      <c r="I31">
        <v>633</v>
      </c>
      <c r="J31">
        <v>1073185</v>
      </c>
      <c r="K31">
        <v>180</v>
      </c>
      <c r="L31">
        <v>9.08</v>
      </c>
      <c r="M31" t="s">
        <v>43</v>
      </c>
      <c r="N31" t="s">
        <v>26</v>
      </c>
      <c r="O31" t="s">
        <v>39</v>
      </c>
      <c r="P31">
        <v>6503.5</v>
      </c>
      <c r="Q31">
        <v>252296.4</v>
      </c>
      <c r="R31" t="s">
        <v>28</v>
      </c>
      <c r="S31" s="1">
        <v>45348</v>
      </c>
    </row>
    <row r="32" spans="1:19" x14ac:dyDescent="0.25">
      <c r="A32" s="5" t="s">
        <v>100</v>
      </c>
      <c r="B32" s="5" t="s">
        <v>101</v>
      </c>
      <c r="C32" s="5" t="s">
        <v>31</v>
      </c>
      <c r="D32" s="5">
        <v>59</v>
      </c>
      <c r="E32" s="5" t="s">
        <v>32</v>
      </c>
      <c r="F32" s="5" t="s">
        <v>23</v>
      </c>
      <c r="G32" s="5" t="s">
        <v>33</v>
      </c>
      <c r="H32" s="5">
        <v>429407</v>
      </c>
      <c r="I32">
        <v>655</v>
      </c>
      <c r="J32">
        <v>1007972</v>
      </c>
      <c r="K32">
        <v>24</v>
      </c>
      <c r="L32">
        <v>9.6</v>
      </c>
      <c r="M32" t="s">
        <v>57</v>
      </c>
      <c r="N32" t="s">
        <v>34</v>
      </c>
      <c r="O32" t="s">
        <v>27</v>
      </c>
      <c r="P32">
        <v>46030.720000000001</v>
      </c>
      <c r="Q32">
        <v>423940.16</v>
      </c>
      <c r="R32" t="s">
        <v>28</v>
      </c>
      <c r="S32" s="1">
        <v>45356</v>
      </c>
    </row>
    <row r="33" spans="1:19" x14ac:dyDescent="0.25">
      <c r="A33" s="5" t="s">
        <v>102</v>
      </c>
      <c r="B33" s="5" t="s">
        <v>103</v>
      </c>
      <c r="C33" s="5" t="s">
        <v>21</v>
      </c>
      <c r="D33" s="5">
        <v>51</v>
      </c>
      <c r="E33" s="5" t="s">
        <v>22</v>
      </c>
      <c r="F33" s="5" t="s">
        <v>42</v>
      </c>
      <c r="G33" s="5" t="s">
        <v>33</v>
      </c>
      <c r="H33" s="5">
        <v>557586</v>
      </c>
      <c r="I33">
        <v>630</v>
      </c>
      <c r="J33">
        <v>1680847</v>
      </c>
      <c r="K33">
        <v>60</v>
      </c>
      <c r="L33">
        <v>8.07</v>
      </c>
      <c r="M33" t="s">
        <v>5</v>
      </c>
      <c r="N33" t="s">
        <v>104</v>
      </c>
      <c r="O33" t="s">
        <v>27</v>
      </c>
      <c r="P33">
        <v>30274.86</v>
      </c>
      <c r="Q33">
        <v>1412716.21</v>
      </c>
      <c r="R33" t="s">
        <v>28</v>
      </c>
      <c r="S33" s="1">
        <v>45309</v>
      </c>
    </row>
    <row r="34" spans="1:19" x14ac:dyDescent="0.25">
      <c r="A34" s="5" t="s">
        <v>105</v>
      </c>
      <c r="B34" s="5" t="s">
        <v>106</v>
      </c>
      <c r="C34" s="5" t="s">
        <v>21</v>
      </c>
      <c r="D34" s="5">
        <v>37</v>
      </c>
      <c r="E34" s="5" t="s">
        <v>22</v>
      </c>
      <c r="F34" s="5" t="s">
        <v>42</v>
      </c>
      <c r="G34" s="5" t="s">
        <v>33</v>
      </c>
      <c r="H34" s="5">
        <v>1001101</v>
      </c>
      <c r="I34">
        <v>840</v>
      </c>
      <c r="J34">
        <v>1277626</v>
      </c>
      <c r="K34">
        <v>240</v>
      </c>
      <c r="L34">
        <v>8.19</v>
      </c>
      <c r="M34" t="s">
        <v>54</v>
      </c>
      <c r="N34" t="s">
        <v>38</v>
      </c>
      <c r="O34" t="s">
        <v>27</v>
      </c>
      <c r="P34">
        <v>5759.43</v>
      </c>
      <c r="Q34">
        <v>635207.84</v>
      </c>
      <c r="R34" t="s">
        <v>28</v>
      </c>
      <c r="S34" s="1">
        <v>45407</v>
      </c>
    </row>
    <row r="35" spans="1:19" x14ac:dyDescent="0.25">
      <c r="A35" s="5" t="s">
        <v>107</v>
      </c>
      <c r="B35" s="5" t="s">
        <v>108</v>
      </c>
      <c r="C35" s="5" t="s">
        <v>21</v>
      </c>
      <c r="D35" s="5">
        <v>37</v>
      </c>
      <c r="E35" s="5" t="s">
        <v>32</v>
      </c>
      <c r="F35" s="5" t="s">
        <v>42</v>
      </c>
      <c r="G35" s="5" t="s">
        <v>24</v>
      </c>
      <c r="H35" s="5">
        <v>1376360</v>
      </c>
      <c r="I35">
        <v>552</v>
      </c>
      <c r="J35">
        <v>776589</v>
      </c>
      <c r="K35">
        <v>84</v>
      </c>
      <c r="L35">
        <v>14.76</v>
      </c>
      <c r="M35" t="s">
        <v>25</v>
      </c>
      <c r="N35" t="s">
        <v>34</v>
      </c>
      <c r="O35" t="s">
        <v>27</v>
      </c>
      <c r="P35">
        <v>10609.68</v>
      </c>
      <c r="Q35">
        <v>255754.34</v>
      </c>
      <c r="R35" t="s">
        <v>28</v>
      </c>
      <c r="S35" s="1">
        <v>45426</v>
      </c>
    </row>
    <row r="36" spans="1:19" x14ac:dyDescent="0.25">
      <c r="A36" s="5" t="s">
        <v>109</v>
      </c>
      <c r="B36" s="5" t="s">
        <v>110</v>
      </c>
      <c r="C36" s="5" t="s">
        <v>31</v>
      </c>
      <c r="D36" s="5">
        <v>58</v>
      </c>
      <c r="E36" s="5" t="s">
        <v>22</v>
      </c>
      <c r="F36" s="5" t="s">
        <v>42</v>
      </c>
      <c r="G36" s="5" t="s">
        <v>24</v>
      </c>
      <c r="H36" s="5">
        <v>1882178</v>
      </c>
      <c r="I36">
        <v>831</v>
      </c>
      <c r="J36">
        <v>1192258</v>
      </c>
      <c r="K36">
        <v>60</v>
      </c>
      <c r="L36">
        <v>12.56</v>
      </c>
      <c r="M36" t="s">
        <v>43</v>
      </c>
      <c r="N36" t="s">
        <v>38</v>
      </c>
      <c r="O36" t="s">
        <v>27</v>
      </c>
      <c r="P36">
        <v>22366.76</v>
      </c>
      <c r="Q36">
        <v>252800.84</v>
      </c>
      <c r="R36" t="s">
        <v>28</v>
      </c>
      <c r="S36" s="1">
        <v>45802</v>
      </c>
    </row>
    <row r="37" spans="1:19" x14ac:dyDescent="0.25">
      <c r="A37" s="5" t="s">
        <v>111</v>
      </c>
      <c r="B37" s="5" t="s">
        <v>112</v>
      </c>
      <c r="C37" s="5" t="s">
        <v>21</v>
      </c>
      <c r="D37" s="5">
        <v>49</v>
      </c>
      <c r="E37" s="5" t="s">
        <v>32</v>
      </c>
      <c r="F37" s="5" t="s">
        <v>42</v>
      </c>
      <c r="G37" s="5" t="s">
        <v>24</v>
      </c>
      <c r="H37" s="5">
        <v>649340</v>
      </c>
      <c r="I37">
        <v>788</v>
      </c>
      <c r="J37">
        <v>288499</v>
      </c>
      <c r="K37">
        <v>84</v>
      </c>
      <c r="L37">
        <v>9.19</v>
      </c>
      <c r="M37" t="s">
        <v>25</v>
      </c>
      <c r="N37" t="s">
        <v>51</v>
      </c>
      <c r="O37" t="s">
        <v>27</v>
      </c>
      <c r="P37">
        <v>3750.14</v>
      </c>
      <c r="Q37">
        <v>179471.39</v>
      </c>
      <c r="R37" t="s">
        <v>28</v>
      </c>
      <c r="S37" s="1">
        <v>45622</v>
      </c>
    </row>
    <row r="38" spans="1:19" x14ac:dyDescent="0.25">
      <c r="A38" s="5" t="s">
        <v>113</v>
      </c>
      <c r="B38" s="5" t="s">
        <v>114</v>
      </c>
      <c r="C38" s="5" t="s">
        <v>31</v>
      </c>
      <c r="D38" s="5">
        <v>32</v>
      </c>
      <c r="E38" s="5" t="s">
        <v>32</v>
      </c>
      <c r="F38" s="5" t="s">
        <v>42</v>
      </c>
      <c r="G38" s="5" t="s">
        <v>24</v>
      </c>
      <c r="H38" s="5">
        <v>643156</v>
      </c>
      <c r="I38">
        <v>655</v>
      </c>
      <c r="J38">
        <v>1474637</v>
      </c>
      <c r="K38">
        <v>36</v>
      </c>
      <c r="L38">
        <v>14.23</v>
      </c>
      <c r="M38" t="s">
        <v>57</v>
      </c>
      <c r="N38" t="s">
        <v>26</v>
      </c>
      <c r="O38" t="s">
        <v>27</v>
      </c>
      <c r="P38">
        <v>46791.05</v>
      </c>
      <c r="Q38">
        <v>1391189.59</v>
      </c>
      <c r="R38" t="s">
        <v>28</v>
      </c>
      <c r="S38" s="1">
        <v>45628</v>
      </c>
    </row>
    <row r="39" spans="1:19" x14ac:dyDescent="0.25">
      <c r="A39" s="5" t="s">
        <v>115</v>
      </c>
      <c r="B39" s="5" t="s">
        <v>116</v>
      </c>
      <c r="C39" s="5" t="s">
        <v>31</v>
      </c>
      <c r="D39" s="5">
        <v>43</v>
      </c>
      <c r="E39" s="5" t="s">
        <v>22</v>
      </c>
      <c r="F39" s="5" t="s">
        <v>23</v>
      </c>
      <c r="G39" s="5" t="s">
        <v>33</v>
      </c>
      <c r="H39" s="5">
        <v>319646</v>
      </c>
      <c r="I39">
        <v>778</v>
      </c>
      <c r="J39">
        <v>1079683</v>
      </c>
      <c r="K39">
        <v>48</v>
      </c>
      <c r="L39">
        <v>12.39</v>
      </c>
      <c r="M39" t="s">
        <v>43</v>
      </c>
      <c r="N39" t="s">
        <v>44</v>
      </c>
      <c r="O39" t="s">
        <v>39</v>
      </c>
      <c r="P39">
        <v>25280.33</v>
      </c>
      <c r="Q39">
        <v>234160.99</v>
      </c>
      <c r="R39" t="s">
        <v>28</v>
      </c>
      <c r="S39" s="1">
        <v>45660</v>
      </c>
    </row>
    <row r="40" spans="1:19" x14ac:dyDescent="0.25">
      <c r="A40" s="5" t="s">
        <v>117</v>
      </c>
      <c r="B40" s="5" t="s">
        <v>118</v>
      </c>
      <c r="C40" s="5" t="s">
        <v>21</v>
      </c>
      <c r="D40" s="5">
        <v>33</v>
      </c>
      <c r="E40" s="5" t="s">
        <v>32</v>
      </c>
      <c r="F40" s="5" t="s">
        <v>42</v>
      </c>
      <c r="G40" s="5" t="s">
        <v>33</v>
      </c>
      <c r="H40" s="5">
        <v>897668</v>
      </c>
      <c r="I40">
        <v>810</v>
      </c>
      <c r="J40">
        <v>1807067</v>
      </c>
      <c r="K40">
        <v>240</v>
      </c>
      <c r="L40">
        <v>9.4700000000000006</v>
      </c>
      <c r="M40" t="s">
        <v>57</v>
      </c>
      <c r="N40" t="s">
        <v>44</v>
      </c>
      <c r="O40" t="s">
        <v>27</v>
      </c>
      <c r="P40">
        <v>8242.48</v>
      </c>
      <c r="Q40">
        <v>264287.90999999997</v>
      </c>
      <c r="R40" t="s">
        <v>28</v>
      </c>
      <c r="S40" s="1">
        <v>45383</v>
      </c>
    </row>
    <row r="41" spans="1:19" x14ac:dyDescent="0.25">
      <c r="A41" s="5" t="s">
        <v>119</v>
      </c>
      <c r="B41" s="5" t="s">
        <v>120</v>
      </c>
      <c r="C41" s="5" t="s">
        <v>21</v>
      </c>
      <c r="D41" s="5">
        <v>48</v>
      </c>
      <c r="E41" s="5" t="s">
        <v>22</v>
      </c>
      <c r="F41" s="5" t="s">
        <v>23</v>
      </c>
      <c r="G41" s="5" t="s">
        <v>24</v>
      </c>
      <c r="H41" s="5">
        <v>903111</v>
      </c>
      <c r="I41">
        <v>807</v>
      </c>
      <c r="J41">
        <v>1052982</v>
      </c>
      <c r="K41">
        <v>120</v>
      </c>
      <c r="L41">
        <v>13.29</v>
      </c>
      <c r="M41" t="s">
        <v>25</v>
      </c>
      <c r="N41" t="s">
        <v>51</v>
      </c>
      <c r="O41" t="s">
        <v>27</v>
      </c>
      <c r="P41">
        <v>9941.0300000000007</v>
      </c>
      <c r="Q41">
        <v>542748.18000000005</v>
      </c>
      <c r="R41" t="s">
        <v>28</v>
      </c>
      <c r="S41" s="1">
        <v>45634</v>
      </c>
    </row>
    <row r="42" spans="1:19" x14ac:dyDescent="0.25">
      <c r="A42" s="5" t="s">
        <v>121</v>
      </c>
      <c r="B42" s="5" t="s">
        <v>122</v>
      </c>
      <c r="C42" s="5" t="s">
        <v>21</v>
      </c>
      <c r="D42" s="5">
        <v>53</v>
      </c>
      <c r="E42" s="5" t="s">
        <v>22</v>
      </c>
      <c r="F42" s="5" t="s">
        <v>42</v>
      </c>
      <c r="G42" s="5" t="s">
        <v>33</v>
      </c>
      <c r="H42" s="5">
        <v>1042480</v>
      </c>
      <c r="I42">
        <v>840</v>
      </c>
      <c r="J42">
        <v>374992</v>
      </c>
      <c r="K42">
        <v>120</v>
      </c>
      <c r="L42">
        <v>9.61</v>
      </c>
      <c r="M42" t="s">
        <v>54</v>
      </c>
      <c r="N42" t="s">
        <v>44</v>
      </c>
      <c r="O42" t="s">
        <v>27</v>
      </c>
      <c r="P42">
        <v>3425.24</v>
      </c>
      <c r="Q42">
        <v>75996.05</v>
      </c>
      <c r="R42" t="s">
        <v>28</v>
      </c>
      <c r="S42" s="1">
        <v>45385</v>
      </c>
    </row>
    <row r="43" spans="1:19" x14ac:dyDescent="0.25">
      <c r="A43" s="5" t="s">
        <v>123</v>
      </c>
      <c r="B43" s="5" t="s">
        <v>124</v>
      </c>
      <c r="C43" s="5" t="s">
        <v>21</v>
      </c>
      <c r="D43" s="5">
        <v>29</v>
      </c>
      <c r="E43" s="5" t="s">
        <v>22</v>
      </c>
      <c r="F43" s="5" t="s">
        <v>23</v>
      </c>
      <c r="G43" s="5" t="s">
        <v>33</v>
      </c>
      <c r="H43" s="5">
        <v>1462379</v>
      </c>
      <c r="I43">
        <v>815</v>
      </c>
      <c r="J43">
        <v>1705548</v>
      </c>
      <c r="K43">
        <v>120</v>
      </c>
      <c r="L43">
        <v>14.06</v>
      </c>
      <c r="M43" t="s">
        <v>43</v>
      </c>
      <c r="N43" t="s">
        <v>34</v>
      </c>
      <c r="O43" t="s">
        <v>27</v>
      </c>
      <c r="P43">
        <v>16211.23</v>
      </c>
      <c r="Q43">
        <v>288995.15000000002</v>
      </c>
      <c r="R43" t="s">
        <v>28</v>
      </c>
      <c r="S43" s="1">
        <v>45371</v>
      </c>
    </row>
    <row r="44" spans="1:19" x14ac:dyDescent="0.25">
      <c r="A44" s="5" t="s">
        <v>125</v>
      </c>
      <c r="B44" s="5" t="s">
        <v>126</v>
      </c>
      <c r="C44" s="5" t="s">
        <v>31</v>
      </c>
      <c r="D44" s="5">
        <v>56</v>
      </c>
      <c r="E44" s="5" t="s">
        <v>22</v>
      </c>
      <c r="F44" s="5" t="s">
        <v>23</v>
      </c>
      <c r="G44" s="5" t="s">
        <v>33</v>
      </c>
      <c r="H44" s="5">
        <v>716318</v>
      </c>
      <c r="I44">
        <v>773</v>
      </c>
      <c r="J44">
        <v>1153516</v>
      </c>
      <c r="K44">
        <v>24</v>
      </c>
      <c r="L44">
        <v>14.01</v>
      </c>
      <c r="M44" t="s">
        <v>5</v>
      </c>
      <c r="N44" t="s">
        <v>44</v>
      </c>
      <c r="O44" t="s">
        <v>27</v>
      </c>
      <c r="P44">
        <v>54796.82</v>
      </c>
      <c r="Q44">
        <v>168072.86</v>
      </c>
      <c r="R44" t="s">
        <v>28</v>
      </c>
      <c r="S44" s="1">
        <v>45590</v>
      </c>
    </row>
    <row r="45" spans="1:19" x14ac:dyDescent="0.25">
      <c r="A45" s="5" t="s">
        <v>127</v>
      </c>
      <c r="B45" s="5" t="s">
        <v>128</v>
      </c>
      <c r="C45" s="5" t="s">
        <v>31</v>
      </c>
      <c r="D45" s="5">
        <v>35</v>
      </c>
      <c r="E45" s="5" t="s">
        <v>22</v>
      </c>
      <c r="F45" s="5" t="s">
        <v>23</v>
      </c>
      <c r="G45" s="5" t="s">
        <v>24</v>
      </c>
      <c r="H45" s="5">
        <v>1588684</v>
      </c>
      <c r="I45">
        <v>617</v>
      </c>
      <c r="J45">
        <v>630497</v>
      </c>
      <c r="K45">
        <v>240</v>
      </c>
      <c r="L45">
        <v>12.02</v>
      </c>
      <c r="M45" t="s">
        <v>57</v>
      </c>
      <c r="N45" t="s">
        <v>26</v>
      </c>
      <c r="O45" t="s">
        <v>27</v>
      </c>
      <c r="P45">
        <v>2942.84</v>
      </c>
      <c r="Q45">
        <v>489958.43</v>
      </c>
      <c r="R45" t="s">
        <v>28</v>
      </c>
      <c r="S45" s="1">
        <v>45550</v>
      </c>
    </row>
    <row r="46" spans="1:19" x14ac:dyDescent="0.25">
      <c r="A46" s="5" t="s">
        <v>129</v>
      </c>
      <c r="B46" s="5" t="s">
        <v>130</v>
      </c>
      <c r="C46" s="5" t="s">
        <v>21</v>
      </c>
      <c r="D46" s="5">
        <v>22</v>
      </c>
      <c r="E46" s="5" t="s">
        <v>22</v>
      </c>
      <c r="F46" s="5" t="s">
        <v>23</v>
      </c>
      <c r="G46" s="5" t="s">
        <v>24</v>
      </c>
      <c r="H46" s="5">
        <v>354699</v>
      </c>
      <c r="I46">
        <v>783</v>
      </c>
      <c r="J46">
        <v>1457437</v>
      </c>
      <c r="K46">
        <v>240</v>
      </c>
      <c r="L46">
        <v>9.9</v>
      </c>
      <c r="M46" t="s">
        <v>43</v>
      </c>
      <c r="N46" t="s">
        <v>104</v>
      </c>
      <c r="O46" t="s">
        <v>39</v>
      </c>
      <c r="P46">
        <v>6673.85</v>
      </c>
      <c r="Q46">
        <v>176379.36</v>
      </c>
      <c r="R46" t="s">
        <v>28</v>
      </c>
      <c r="S46" s="1">
        <v>45669</v>
      </c>
    </row>
    <row r="47" spans="1:19" x14ac:dyDescent="0.25">
      <c r="A47" s="5" t="s">
        <v>131</v>
      </c>
      <c r="B47" s="5" t="s">
        <v>132</v>
      </c>
      <c r="C47" s="5" t="s">
        <v>21</v>
      </c>
      <c r="D47" s="5">
        <v>57</v>
      </c>
      <c r="E47" s="5" t="s">
        <v>22</v>
      </c>
      <c r="F47" s="5" t="s">
        <v>23</v>
      </c>
      <c r="G47" s="5" t="s">
        <v>24</v>
      </c>
      <c r="H47" s="5">
        <v>1187372</v>
      </c>
      <c r="I47">
        <v>793</v>
      </c>
      <c r="J47">
        <v>1583210</v>
      </c>
      <c r="K47">
        <v>60</v>
      </c>
      <c r="L47">
        <v>7.52</v>
      </c>
      <c r="M47" t="s">
        <v>54</v>
      </c>
      <c r="N47" t="s">
        <v>44</v>
      </c>
      <c r="O47" t="s">
        <v>27</v>
      </c>
      <c r="P47">
        <v>28371.119999999999</v>
      </c>
      <c r="Q47">
        <v>871641.9</v>
      </c>
      <c r="R47" t="s">
        <v>28</v>
      </c>
      <c r="S47" s="1">
        <v>45819</v>
      </c>
    </row>
    <row r="48" spans="1:19" x14ac:dyDescent="0.25">
      <c r="A48" s="5" t="s">
        <v>133</v>
      </c>
      <c r="B48" s="5" t="s">
        <v>134</v>
      </c>
      <c r="C48" s="5" t="s">
        <v>31</v>
      </c>
      <c r="D48" s="5">
        <v>60</v>
      </c>
      <c r="E48" s="5" t="s">
        <v>32</v>
      </c>
      <c r="F48" s="5" t="s">
        <v>23</v>
      </c>
      <c r="G48" s="5" t="s">
        <v>24</v>
      </c>
      <c r="H48" s="5">
        <v>1968249</v>
      </c>
      <c r="I48">
        <v>848</v>
      </c>
      <c r="J48">
        <v>957271</v>
      </c>
      <c r="K48">
        <v>240</v>
      </c>
      <c r="L48">
        <v>8.67</v>
      </c>
      <c r="M48" t="s">
        <v>43</v>
      </c>
      <c r="N48" t="s">
        <v>38</v>
      </c>
      <c r="O48" t="s">
        <v>27</v>
      </c>
      <c r="P48">
        <v>4334.4399999999996</v>
      </c>
      <c r="Q48">
        <v>856061.42</v>
      </c>
      <c r="R48" t="s">
        <v>28</v>
      </c>
      <c r="S48" s="1">
        <v>45394</v>
      </c>
    </row>
    <row r="49" spans="1:19" x14ac:dyDescent="0.25">
      <c r="A49" s="5" t="s">
        <v>135</v>
      </c>
      <c r="B49" s="5" t="s">
        <v>136</v>
      </c>
      <c r="C49" s="5" t="s">
        <v>21</v>
      </c>
      <c r="D49" s="5">
        <v>32</v>
      </c>
      <c r="E49" s="5" t="s">
        <v>32</v>
      </c>
      <c r="F49" s="5" t="s">
        <v>42</v>
      </c>
      <c r="G49" s="5" t="s">
        <v>33</v>
      </c>
      <c r="H49" s="5">
        <v>1638636</v>
      </c>
      <c r="I49">
        <v>721</v>
      </c>
      <c r="J49">
        <v>397616</v>
      </c>
      <c r="K49">
        <v>84</v>
      </c>
      <c r="L49">
        <v>12.64</v>
      </c>
      <c r="M49" t="s">
        <v>5</v>
      </c>
      <c r="N49" t="s">
        <v>51</v>
      </c>
      <c r="O49" t="s">
        <v>27</v>
      </c>
      <c r="P49">
        <v>5331.84</v>
      </c>
      <c r="Q49">
        <v>226586.78</v>
      </c>
      <c r="R49" t="s">
        <v>28</v>
      </c>
      <c r="S49" s="1">
        <v>45910</v>
      </c>
    </row>
    <row r="50" spans="1:19" x14ac:dyDescent="0.25">
      <c r="A50" s="5" t="s">
        <v>137</v>
      </c>
      <c r="B50" s="5" t="s">
        <v>138</v>
      </c>
      <c r="C50" s="5" t="s">
        <v>31</v>
      </c>
      <c r="D50" s="5">
        <v>31</v>
      </c>
      <c r="E50" s="5" t="s">
        <v>32</v>
      </c>
      <c r="F50" s="5" t="s">
        <v>42</v>
      </c>
      <c r="G50" s="5" t="s">
        <v>33</v>
      </c>
      <c r="H50" s="5">
        <v>323919</v>
      </c>
      <c r="I50">
        <v>677</v>
      </c>
      <c r="J50">
        <v>420096</v>
      </c>
      <c r="K50">
        <v>48</v>
      </c>
      <c r="L50">
        <v>14.9</v>
      </c>
      <c r="M50" t="s">
        <v>54</v>
      </c>
      <c r="N50" t="s">
        <v>38</v>
      </c>
      <c r="O50" t="s">
        <v>39</v>
      </c>
      <c r="P50">
        <v>10056.049999999999</v>
      </c>
      <c r="Q50">
        <v>63888.07</v>
      </c>
      <c r="R50" t="s">
        <v>28</v>
      </c>
      <c r="S50" s="1">
        <v>45774</v>
      </c>
    </row>
    <row r="51" spans="1:19" x14ac:dyDescent="0.25">
      <c r="A51" s="5" t="s">
        <v>139</v>
      </c>
      <c r="B51" s="5" t="s">
        <v>140</v>
      </c>
      <c r="C51" s="5" t="s">
        <v>31</v>
      </c>
      <c r="D51" s="5">
        <v>40</v>
      </c>
      <c r="E51" s="5" t="s">
        <v>22</v>
      </c>
      <c r="F51" s="5" t="s">
        <v>42</v>
      </c>
      <c r="G51" s="5" t="s">
        <v>33</v>
      </c>
      <c r="H51" s="5">
        <v>1071805</v>
      </c>
      <c r="I51">
        <v>770</v>
      </c>
      <c r="J51">
        <v>387026</v>
      </c>
      <c r="K51">
        <v>60</v>
      </c>
      <c r="L51">
        <v>10.02</v>
      </c>
      <c r="M51" t="s">
        <v>43</v>
      </c>
      <c r="N51" t="s">
        <v>51</v>
      </c>
      <c r="O51" t="s">
        <v>27</v>
      </c>
      <c r="P51">
        <v>7096.77</v>
      </c>
      <c r="Q51">
        <v>343443.09</v>
      </c>
      <c r="R51" t="s">
        <v>28</v>
      </c>
      <c r="S51" s="1">
        <v>45522</v>
      </c>
    </row>
    <row r="52" spans="1:19" x14ac:dyDescent="0.25">
      <c r="A52" s="5" t="s">
        <v>141</v>
      </c>
      <c r="B52" s="5" t="s">
        <v>142</v>
      </c>
      <c r="C52" s="5" t="s">
        <v>31</v>
      </c>
      <c r="D52" s="5">
        <v>21</v>
      </c>
      <c r="E52" s="5" t="s">
        <v>22</v>
      </c>
      <c r="F52" s="5" t="s">
        <v>23</v>
      </c>
      <c r="G52" s="5" t="s">
        <v>24</v>
      </c>
      <c r="H52" s="5">
        <v>344772</v>
      </c>
      <c r="I52">
        <v>703</v>
      </c>
      <c r="J52">
        <v>1010727</v>
      </c>
      <c r="K52">
        <v>24</v>
      </c>
      <c r="L52">
        <v>10.61</v>
      </c>
      <c r="M52" t="s">
        <v>25</v>
      </c>
      <c r="N52" t="s">
        <v>51</v>
      </c>
      <c r="O52" t="s">
        <v>39</v>
      </c>
      <c r="P52">
        <v>46581.88</v>
      </c>
      <c r="Q52">
        <v>670756.93000000005</v>
      </c>
      <c r="R52" t="s">
        <v>28</v>
      </c>
      <c r="S52" s="1">
        <v>45545</v>
      </c>
    </row>
    <row r="53" spans="1:19" x14ac:dyDescent="0.25">
      <c r="A53" s="5" t="s">
        <v>143</v>
      </c>
      <c r="B53" s="5" t="s">
        <v>144</v>
      </c>
      <c r="C53" s="5" t="s">
        <v>31</v>
      </c>
      <c r="D53" s="5">
        <v>55</v>
      </c>
      <c r="E53" s="5" t="s">
        <v>22</v>
      </c>
      <c r="F53" s="5" t="s">
        <v>23</v>
      </c>
      <c r="G53" s="5" t="s">
        <v>24</v>
      </c>
      <c r="H53" s="5">
        <v>1131399</v>
      </c>
      <c r="I53">
        <v>738</v>
      </c>
      <c r="J53">
        <v>598484</v>
      </c>
      <c r="K53">
        <v>84</v>
      </c>
      <c r="L53">
        <v>13.07</v>
      </c>
      <c r="M53" t="s">
        <v>54</v>
      </c>
      <c r="N53" t="s">
        <v>104</v>
      </c>
      <c r="O53" t="s">
        <v>27</v>
      </c>
      <c r="P53">
        <v>8056.02</v>
      </c>
      <c r="Q53">
        <v>355977.19</v>
      </c>
      <c r="R53" t="s">
        <v>28</v>
      </c>
      <c r="S53" s="1">
        <v>45561</v>
      </c>
    </row>
    <row r="54" spans="1:19" x14ac:dyDescent="0.25">
      <c r="A54" s="5" t="s">
        <v>145</v>
      </c>
      <c r="B54" s="5" t="s">
        <v>146</v>
      </c>
      <c r="C54" s="5" t="s">
        <v>21</v>
      </c>
      <c r="D54" s="5">
        <v>29</v>
      </c>
      <c r="E54" s="5" t="s">
        <v>32</v>
      </c>
      <c r="F54" s="5" t="s">
        <v>23</v>
      </c>
      <c r="G54" s="5" t="s">
        <v>33</v>
      </c>
      <c r="H54" s="5">
        <v>1086790</v>
      </c>
      <c r="I54">
        <v>827</v>
      </c>
      <c r="J54">
        <v>1077470</v>
      </c>
      <c r="K54">
        <v>240</v>
      </c>
      <c r="L54">
        <v>10.46</v>
      </c>
      <c r="M54" t="s">
        <v>57</v>
      </c>
      <c r="N54" t="s">
        <v>44</v>
      </c>
      <c r="O54" t="s">
        <v>27</v>
      </c>
      <c r="P54">
        <v>4959.0600000000004</v>
      </c>
      <c r="Q54">
        <v>522396.52</v>
      </c>
      <c r="R54" t="s">
        <v>28</v>
      </c>
      <c r="S54" s="1">
        <v>45768</v>
      </c>
    </row>
    <row r="55" spans="1:19" x14ac:dyDescent="0.25">
      <c r="A55" s="5" t="s">
        <v>147</v>
      </c>
      <c r="B55" s="5" t="s">
        <v>148</v>
      </c>
      <c r="C55" s="5" t="s">
        <v>31</v>
      </c>
      <c r="D55" s="5">
        <v>41</v>
      </c>
      <c r="E55" s="5" t="s">
        <v>22</v>
      </c>
      <c r="F55" s="5" t="s">
        <v>23</v>
      </c>
      <c r="G55" s="5" t="s">
        <v>24</v>
      </c>
      <c r="H55" s="5">
        <v>861627</v>
      </c>
      <c r="I55">
        <v>749</v>
      </c>
      <c r="J55">
        <v>535265</v>
      </c>
      <c r="K55">
        <v>24</v>
      </c>
      <c r="L55">
        <v>14.15</v>
      </c>
      <c r="M55" t="s">
        <v>54</v>
      </c>
      <c r="N55" t="s">
        <v>38</v>
      </c>
      <c r="O55" t="s">
        <v>27</v>
      </c>
      <c r="P55">
        <v>25458.54</v>
      </c>
      <c r="Q55">
        <v>393553.69</v>
      </c>
      <c r="R55" t="s">
        <v>28</v>
      </c>
      <c r="S55" s="1">
        <v>45921</v>
      </c>
    </row>
    <row r="56" spans="1:19" x14ac:dyDescent="0.25">
      <c r="A56" s="5" t="s">
        <v>149</v>
      </c>
      <c r="B56" s="5" t="s">
        <v>150</v>
      </c>
      <c r="C56" s="5" t="s">
        <v>31</v>
      </c>
      <c r="D56" s="5">
        <v>41</v>
      </c>
      <c r="E56" s="5" t="s">
        <v>32</v>
      </c>
      <c r="F56" s="5" t="s">
        <v>23</v>
      </c>
      <c r="G56" s="5" t="s">
        <v>33</v>
      </c>
      <c r="H56" s="5">
        <v>1392632</v>
      </c>
      <c r="I56">
        <v>657</v>
      </c>
      <c r="J56">
        <v>1395779</v>
      </c>
      <c r="K56">
        <v>180</v>
      </c>
      <c r="L56">
        <v>11.25</v>
      </c>
      <c r="M56" t="s">
        <v>57</v>
      </c>
      <c r="N56" t="s">
        <v>44</v>
      </c>
      <c r="O56" t="s">
        <v>27</v>
      </c>
      <c r="P56">
        <v>8626.69</v>
      </c>
      <c r="Q56">
        <v>875464.17</v>
      </c>
      <c r="R56" t="s">
        <v>28</v>
      </c>
      <c r="S56" s="1">
        <v>45771</v>
      </c>
    </row>
    <row r="57" spans="1:19" x14ac:dyDescent="0.25">
      <c r="A57" s="5" t="s">
        <v>151</v>
      </c>
      <c r="B57" s="5" t="s">
        <v>152</v>
      </c>
      <c r="C57" s="5" t="s">
        <v>21</v>
      </c>
      <c r="D57" s="5">
        <v>54</v>
      </c>
      <c r="E57" s="5" t="s">
        <v>22</v>
      </c>
      <c r="F57" s="5" t="s">
        <v>42</v>
      </c>
      <c r="G57" s="5" t="s">
        <v>24</v>
      </c>
      <c r="H57" s="5">
        <v>763644</v>
      </c>
      <c r="I57">
        <v>793</v>
      </c>
      <c r="J57">
        <v>842228</v>
      </c>
      <c r="K57">
        <v>120</v>
      </c>
      <c r="L57">
        <v>8.98</v>
      </c>
      <c r="M57" t="s">
        <v>54</v>
      </c>
      <c r="N57" t="s">
        <v>104</v>
      </c>
      <c r="O57" t="s">
        <v>27</v>
      </c>
      <c r="P57">
        <v>7648.83</v>
      </c>
      <c r="Q57">
        <v>779824.45</v>
      </c>
      <c r="R57" t="s">
        <v>28</v>
      </c>
      <c r="S57" s="1">
        <v>46020</v>
      </c>
    </row>
    <row r="58" spans="1:19" x14ac:dyDescent="0.25">
      <c r="A58" s="5" t="s">
        <v>153</v>
      </c>
      <c r="B58" s="5" t="s">
        <v>154</v>
      </c>
      <c r="C58" s="5" t="s">
        <v>31</v>
      </c>
      <c r="D58" s="5">
        <v>29</v>
      </c>
      <c r="E58" s="5" t="s">
        <v>32</v>
      </c>
      <c r="F58" s="5" t="s">
        <v>42</v>
      </c>
      <c r="G58" s="5" t="s">
        <v>24</v>
      </c>
      <c r="H58" s="5">
        <v>798392</v>
      </c>
      <c r="I58">
        <v>819</v>
      </c>
      <c r="J58">
        <v>1305140</v>
      </c>
      <c r="K58">
        <v>24</v>
      </c>
      <c r="L58">
        <v>12.2</v>
      </c>
      <c r="M58" t="s">
        <v>43</v>
      </c>
      <c r="N58" t="s">
        <v>26</v>
      </c>
      <c r="O58" t="s">
        <v>27</v>
      </c>
      <c r="P58">
        <v>61015.29</v>
      </c>
      <c r="Q58">
        <v>664966.63</v>
      </c>
      <c r="R58" t="s">
        <v>28</v>
      </c>
      <c r="S58" s="1">
        <v>45994</v>
      </c>
    </row>
    <row r="59" spans="1:19" x14ac:dyDescent="0.25">
      <c r="A59" s="5" t="s">
        <v>155</v>
      </c>
      <c r="B59" s="5" t="s">
        <v>156</v>
      </c>
      <c r="C59" s="5" t="s">
        <v>31</v>
      </c>
      <c r="D59" s="5">
        <v>36</v>
      </c>
      <c r="E59" s="5" t="s">
        <v>22</v>
      </c>
      <c r="F59" s="5" t="s">
        <v>42</v>
      </c>
      <c r="G59" s="5" t="s">
        <v>33</v>
      </c>
      <c r="H59" s="5">
        <v>835182</v>
      </c>
      <c r="I59">
        <v>751</v>
      </c>
      <c r="J59">
        <v>1866888</v>
      </c>
      <c r="K59">
        <v>36</v>
      </c>
      <c r="L59">
        <v>8.25</v>
      </c>
      <c r="M59" t="s">
        <v>54</v>
      </c>
      <c r="N59" t="s">
        <v>104</v>
      </c>
      <c r="O59" t="s">
        <v>27</v>
      </c>
      <c r="P59">
        <v>56136.29</v>
      </c>
      <c r="Q59">
        <v>658816.92000000004</v>
      </c>
      <c r="R59" t="s">
        <v>28</v>
      </c>
      <c r="S59" s="1">
        <v>45451</v>
      </c>
    </row>
    <row r="60" spans="1:19" x14ac:dyDescent="0.25">
      <c r="A60" s="5" t="s">
        <v>157</v>
      </c>
      <c r="B60" s="5" t="s">
        <v>158</v>
      </c>
      <c r="C60" s="5" t="s">
        <v>31</v>
      </c>
      <c r="D60" s="5">
        <v>50</v>
      </c>
      <c r="E60" s="5" t="s">
        <v>32</v>
      </c>
      <c r="F60" s="5" t="s">
        <v>42</v>
      </c>
      <c r="G60" s="5" t="s">
        <v>33</v>
      </c>
      <c r="H60" s="5">
        <v>972024</v>
      </c>
      <c r="I60">
        <v>711</v>
      </c>
      <c r="J60">
        <v>179001</v>
      </c>
      <c r="K60">
        <v>36</v>
      </c>
      <c r="L60">
        <v>8.7100000000000009</v>
      </c>
      <c r="M60" t="s">
        <v>57</v>
      </c>
      <c r="N60" t="s">
        <v>44</v>
      </c>
      <c r="O60" t="s">
        <v>27</v>
      </c>
      <c r="P60">
        <v>5405.33</v>
      </c>
      <c r="Q60">
        <v>166801.79999999999</v>
      </c>
      <c r="R60" t="s">
        <v>28</v>
      </c>
      <c r="S60" s="1">
        <v>45758</v>
      </c>
    </row>
    <row r="61" spans="1:19" x14ac:dyDescent="0.25">
      <c r="A61" s="5" t="s">
        <v>159</v>
      </c>
      <c r="B61" s="5" t="s">
        <v>160</v>
      </c>
      <c r="C61" s="5" t="s">
        <v>21</v>
      </c>
      <c r="D61" s="5">
        <v>38</v>
      </c>
      <c r="E61" s="5" t="s">
        <v>32</v>
      </c>
      <c r="F61" s="5" t="s">
        <v>23</v>
      </c>
      <c r="G61" s="5" t="s">
        <v>24</v>
      </c>
      <c r="H61" s="5">
        <v>775724</v>
      </c>
      <c r="I61">
        <v>773</v>
      </c>
      <c r="J61">
        <v>1302559</v>
      </c>
      <c r="K61">
        <v>36</v>
      </c>
      <c r="L61">
        <v>7.57</v>
      </c>
      <c r="M61" t="s">
        <v>5</v>
      </c>
      <c r="N61" t="s">
        <v>44</v>
      </c>
      <c r="O61" t="s">
        <v>27</v>
      </c>
      <c r="P61">
        <v>38921.19</v>
      </c>
      <c r="Q61">
        <v>1002445.36</v>
      </c>
      <c r="R61" t="s">
        <v>28</v>
      </c>
      <c r="S61" s="1">
        <v>45341</v>
      </c>
    </row>
    <row r="62" spans="1:19" x14ac:dyDescent="0.25">
      <c r="A62" s="5" t="s">
        <v>161</v>
      </c>
      <c r="B62" s="5" t="s">
        <v>162</v>
      </c>
      <c r="C62" s="5" t="s">
        <v>31</v>
      </c>
      <c r="D62" s="5">
        <v>49</v>
      </c>
      <c r="E62" s="5" t="s">
        <v>32</v>
      </c>
      <c r="F62" s="5" t="s">
        <v>42</v>
      </c>
      <c r="G62" s="5" t="s">
        <v>24</v>
      </c>
      <c r="H62" s="5">
        <v>1347620</v>
      </c>
      <c r="I62">
        <v>592</v>
      </c>
      <c r="J62">
        <v>1441525</v>
      </c>
      <c r="K62">
        <v>240</v>
      </c>
      <c r="L62">
        <v>15.28</v>
      </c>
      <c r="M62" t="s">
        <v>57</v>
      </c>
      <c r="N62" t="s">
        <v>34</v>
      </c>
      <c r="O62" t="s">
        <v>27</v>
      </c>
      <c r="P62">
        <v>6924.13</v>
      </c>
      <c r="Q62">
        <v>805092.22</v>
      </c>
      <c r="R62" t="s">
        <v>35</v>
      </c>
      <c r="S62" s="1">
        <v>46019</v>
      </c>
    </row>
    <row r="63" spans="1:19" x14ac:dyDescent="0.25">
      <c r="A63" s="5" t="s">
        <v>163</v>
      </c>
      <c r="B63" s="5" t="s">
        <v>164</v>
      </c>
      <c r="C63" s="5" t="s">
        <v>21</v>
      </c>
      <c r="D63" s="5">
        <v>50</v>
      </c>
      <c r="E63" s="5" t="s">
        <v>32</v>
      </c>
      <c r="F63" s="5" t="s">
        <v>23</v>
      </c>
      <c r="G63" s="5" t="s">
        <v>33</v>
      </c>
      <c r="H63" s="5">
        <v>1110054</v>
      </c>
      <c r="I63">
        <v>680</v>
      </c>
      <c r="J63">
        <v>1275003</v>
      </c>
      <c r="K63">
        <v>120</v>
      </c>
      <c r="L63">
        <v>14.59</v>
      </c>
      <c r="M63" t="s">
        <v>25</v>
      </c>
      <c r="N63" t="s">
        <v>51</v>
      </c>
      <c r="O63" t="s">
        <v>27</v>
      </c>
      <c r="P63">
        <v>12175.22</v>
      </c>
      <c r="Q63">
        <v>1109805.5</v>
      </c>
      <c r="R63" t="s">
        <v>28</v>
      </c>
      <c r="S63" s="1">
        <v>46002</v>
      </c>
    </row>
    <row r="64" spans="1:19" x14ac:dyDescent="0.25">
      <c r="A64" s="5" t="s">
        <v>165</v>
      </c>
      <c r="B64" s="5" t="s">
        <v>166</v>
      </c>
      <c r="C64" s="5" t="s">
        <v>31</v>
      </c>
      <c r="D64" s="5">
        <v>27</v>
      </c>
      <c r="E64" s="5" t="s">
        <v>22</v>
      </c>
      <c r="F64" s="5" t="s">
        <v>23</v>
      </c>
      <c r="G64" s="5" t="s">
        <v>33</v>
      </c>
      <c r="H64" s="5">
        <v>1511152</v>
      </c>
      <c r="I64">
        <v>773</v>
      </c>
      <c r="J64">
        <v>1574356</v>
      </c>
      <c r="K64">
        <v>240</v>
      </c>
      <c r="L64">
        <v>8.5399999999999991</v>
      </c>
      <c r="M64" t="s">
        <v>54</v>
      </c>
      <c r="N64" t="s">
        <v>104</v>
      </c>
      <c r="O64" t="s">
        <v>27</v>
      </c>
      <c r="P64">
        <v>7120.03</v>
      </c>
      <c r="Q64">
        <v>1102598.5900000001</v>
      </c>
      <c r="R64" t="s">
        <v>28</v>
      </c>
      <c r="S64" s="1">
        <v>45978</v>
      </c>
    </row>
    <row r="65" spans="1:19" x14ac:dyDescent="0.25">
      <c r="A65" s="5" t="s">
        <v>167</v>
      </c>
      <c r="B65" s="5" t="s">
        <v>168</v>
      </c>
      <c r="C65" s="5" t="s">
        <v>21</v>
      </c>
      <c r="D65" s="5">
        <v>27</v>
      </c>
      <c r="E65" s="5" t="s">
        <v>32</v>
      </c>
      <c r="F65" s="5" t="s">
        <v>23</v>
      </c>
      <c r="G65" s="5" t="s">
        <v>33</v>
      </c>
      <c r="H65" s="5">
        <v>1365435</v>
      </c>
      <c r="I65">
        <v>649</v>
      </c>
      <c r="J65">
        <v>147306</v>
      </c>
      <c r="K65">
        <v>48</v>
      </c>
      <c r="L65">
        <v>11.54</v>
      </c>
      <c r="M65" t="s">
        <v>25</v>
      </c>
      <c r="N65" t="s">
        <v>26</v>
      </c>
      <c r="O65" t="s">
        <v>27</v>
      </c>
      <c r="P65">
        <v>3423.02</v>
      </c>
      <c r="Q65">
        <v>79613.919999999998</v>
      </c>
      <c r="R65" t="s">
        <v>28</v>
      </c>
      <c r="S65" s="1">
        <v>45595</v>
      </c>
    </row>
    <row r="66" spans="1:19" x14ac:dyDescent="0.25">
      <c r="A66" s="5" t="s">
        <v>169</v>
      </c>
      <c r="B66" s="5" t="s">
        <v>170</v>
      </c>
      <c r="C66" s="5" t="s">
        <v>31</v>
      </c>
      <c r="D66" s="5">
        <v>49</v>
      </c>
      <c r="E66" s="5" t="s">
        <v>32</v>
      </c>
      <c r="F66" s="5" t="s">
        <v>23</v>
      </c>
      <c r="G66" s="5" t="s">
        <v>33</v>
      </c>
      <c r="H66" s="5">
        <v>469141</v>
      </c>
      <c r="I66">
        <v>584</v>
      </c>
      <c r="J66">
        <v>740145</v>
      </c>
      <c r="K66">
        <v>24</v>
      </c>
      <c r="L66">
        <v>7.91</v>
      </c>
      <c r="M66" t="s">
        <v>54</v>
      </c>
      <c r="N66" t="s">
        <v>34</v>
      </c>
      <c r="O66" t="s">
        <v>39</v>
      </c>
      <c r="P66">
        <v>33278.769999999997</v>
      </c>
      <c r="Q66">
        <v>607886.52</v>
      </c>
      <c r="R66" t="s">
        <v>28</v>
      </c>
      <c r="S66" s="1">
        <v>45586</v>
      </c>
    </row>
    <row r="67" spans="1:19" x14ac:dyDescent="0.25">
      <c r="A67" s="5" t="s">
        <v>171</v>
      </c>
      <c r="B67" s="5" t="s">
        <v>172</v>
      </c>
      <c r="C67" s="5" t="s">
        <v>21</v>
      </c>
      <c r="D67" s="5">
        <v>42</v>
      </c>
      <c r="E67" s="5" t="s">
        <v>32</v>
      </c>
      <c r="F67" s="5" t="s">
        <v>42</v>
      </c>
      <c r="G67" s="5" t="s">
        <v>33</v>
      </c>
      <c r="H67" s="5">
        <v>1192930</v>
      </c>
      <c r="I67">
        <v>638</v>
      </c>
      <c r="J67">
        <v>1975218</v>
      </c>
      <c r="K67">
        <v>120</v>
      </c>
      <c r="L67">
        <v>10.58</v>
      </c>
      <c r="M67" t="s">
        <v>5</v>
      </c>
      <c r="N67" t="s">
        <v>26</v>
      </c>
      <c r="O67" t="s">
        <v>27</v>
      </c>
      <c r="P67">
        <v>18201.63</v>
      </c>
      <c r="Q67">
        <v>501792.13</v>
      </c>
      <c r="R67" t="s">
        <v>28</v>
      </c>
      <c r="S67" s="1">
        <v>45311</v>
      </c>
    </row>
    <row r="68" spans="1:19" x14ac:dyDescent="0.25">
      <c r="A68" s="5" t="s">
        <v>173</v>
      </c>
      <c r="B68" s="5" t="s">
        <v>174</v>
      </c>
      <c r="C68" s="5" t="s">
        <v>31</v>
      </c>
      <c r="D68" s="5">
        <v>38</v>
      </c>
      <c r="E68" s="5" t="s">
        <v>22</v>
      </c>
      <c r="F68" s="5" t="s">
        <v>42</v>
      </c>
      <c r="G68" s="5" t="s">
        <v>24</v>
      </c>
      <c r="H68" s="5">
        <v>1997586</v>
      </c>
      <c r="I68">
        <v>675</v>
      </c>
      <c r="J68">
        <v>1648142</v>
      </c>
      <c r="K68">
        <v>180</v>
      </c>
      <c r="L68">
        <v>15.1</v>
      </c>
      <c r="M68" t="s">
        <v>5</v>
      </c>
      <c r="N68" t="s">
        <v>44</v>
      </c>
      <c r="O68" t="s">
        <v>27</v>
      </c>
      <c r="P68">
        <v>10538.95</v>
      </c>
      <c r="Q68">
        <v>1441097.9</v>
      </c>
      <c r="R68" t="s">
        <v>28</v>
      </c>
      <c r="S68" s="1">
        <v>45617</v>
      </c>
    </row>
    <row r="69" spans="1:19" x14ac:dyDescent="0.25">
      <c r="A69" s="5" t="s">
        <v>175</v>
      </c>
      <c r="B69" s="5" t="s">
        <v>176</v>
      </c>
      <c r="C69" s="5" t="s">
        <v>31</v>
      </c>
      <c r="D69" s="5">
        <v>55</v>
      </c>
      <c r="E69" s="5" t="s">
        <v>32</v>
      </c>
      <c r="F69" s="5" t="s">
        <v>23</v>
      </c>
      <c r="G69" s="5" t="s">
        <v>24</v>
      </c>
      <c r="H69" s="5">
        <v>693880</v>
      </c>
      <c r="I69">
        <v>588</v>
      </c>
      <c r="J69">
        <v>1935076</v>
      </c>
      <c r="K69">
        <v>120</v>
      </c>
      <c r="L69">
        <v>14.94</v>
      </c>
      <c r="M69" t="s">
        <v>57</v>
      </c>
      <c r="N69" t="s">
        <v>38</v>
      </c>
      <c r="O69" t="s">
        <v>39</v>
      </c>
      <c r="P69">
        <v>18534.8</v>
      </c>
      <c r="Q69">
        <v>299799.49</v>
      </c>
      <c r="R69" t="s">
        <v>28</v>
      </c>
      <c r="S69" s="1">
        <v>45471</v>
      </c>
    </row>
    <row r="70" spans="1:19" x14ac:dyDescent="0.25">
      <c r="A70" s="5" t="s">
        <v>177</v>
      </c>
      <c r="B70" s="5" t="s">
        <v>178</v>
      </c>
      <c r="C70" s="5" t="s">
        <v>31</v>
      </c>
      <c r="D70" s="5">
        <v>26</v>
      </c>
      <c r="E70" s="5" t="s">
        <v>32</v>
      </c>
      <c r="F70" s="5" t="s">
        <v>23</v>
      </c>
      <c r="G70" s="5" t="s">
        <v>24</v>
      </c>
      <c r="H70" s="5">
        <v>671628</v>
      </c>
      <c r="I70">
        <v>637</v>
      </c>
      <c r="J70">
        <v>1885415</v>
      </c>
      <c r="K70">
        <v>12</v>
      </c>
      <c r="L70">
        <v>8.7100000000000009</v>
      </c>
      <c r="M70" t="s">
        <v>43</v>
      </c>
      <c r="N70" t="s">
        <v>104</v>
      </c>
      <c r="O70" t="s">
        <v>39</v>
      </c>
      <c r="P70">
        <v>170802.89</v>
      </c>
      <c r="Q70">
        <v>1072428.49</v>
      </c>
      <c r="R70" t="s">
        <v>28</v>
      </c>
      <c r="S70" s="1">
        <v>45722</v>
      </c>
    </row>
    <row r="71" spans="1:19" x14ac:dyDescent="0.25">
      <c r="A71" s="5" t="s">
        <v>179</v>
      </c>
      <c r="B71" s="5" t="s">
        <v>180</v>
      </c>
      <c r="C71" s="5" t="s">
        <v>21</v>
      </c>
      <c r="D71" s="5">
        <v>32</v>
      </c>
      <c r="E71" s="5" t="s">
        <v>22</v>
      </c>
      <c r="F71" s="5" t="s">
        <v>42</v>
      </c>
      <c r="G71" s="5" t="s">
        <v>24</v>
      </c>
      <c r="H71" s="5">
        <v>1671726</v>
      </c>
      <c r="I71">
        <v>668</v>
      </c>
      <c r="J71">
        <v>971452</v>
      </c>
      <c r="K71">
        <v>60</v>
      </c>
      <c r="L71">
        <v>9.9700000000000006</v>
      </c>
      <c r="M71" t="s">
        <v>25</v>
      </c>
      <c r="N71" t="s">
        <v>104</v>
      </c>
      <c r="O71" t="s">
        <v>27</v>
      </c>
      <c r="P71">
        <v>17805.099999999999</v>
      </c>
      <c r="Q71">
        <v>845669.6</v>
      </c>
      <c r="R71" t="s">
        <v>28</v>
      </c>
      <c r="S71" s="1">
        <v>45763</v>
      </c>
    </row>
    <row r="72" spans="1:19" x14ac:dyDescent="0.25">
      <c r="A72" s="5" t="s">
        <v>181</v>
      </c>
      <c r="B72" s="5" t="s">
        <v>182</v>
      </c>
      <c r="C72" s="5" t="s">
        <v>31</v>
      </c>
      <c r="D72" s="5">
        <v>38</v>
      </c>
      <c r="E72" s="5" t="s">
        <v>32</v>
      </c>
      <c r="F72" s="5" t="s">
        <v>23</v>
      </c>
      <c r="G72" s="5" t="s">
        <v>33</v>
      </c>
      <c r="H72" s="5">
        <v>1456112</v>
      </c>
      <c r="I72">
        <v>793</v>
      </c>
      <c r="J72">
        <v>301167</v>
      </c>
      <c r="K72">
        <v>60</v>
      </c>
      <c r="L72">
        <v>13.05</v>
      </c>
      <c r="M72" t="s">
        <v>57</v>
      </c>
      <c r="N72" t="s">
        <v>38</v>
      </c>
      <c r="O72" t="s">
        <v>27</v>
      </c>
      <c r="P72">
        <v>5674.49</v>
      </c>
      <c r="Q72">
        <v>198403.64</v>
      </c>
      <c r="R72" t="s">
        <v>28</v>
      </c>
      <c r="S72" s="1">
        <v>45849</v>
      </c>
    </row>
    <row r="73" spans="1:19" x14ac:dyDescent="0.25">
      <c r="A73" s="5" t="s">
        <v>183</v>
      </c>
      <c r="B73" s="5" t="s">
        <v>184</v>
      </c>
      <c r="C73" s="5" t="s">
        <v>31</v>
      </c>
      <c r="D73" s="5">
        <v>49</v>
      </c>
      <c r="E73" s="5" t="s">
        <v>22</v>
      </c>
      <c r="F73" s="5" t="s">
        <v>23</v>
      </c>
      <c r="G73" s="5" t="s">
        <v>33</v>
      </c>
      <c r="H73" s="5">
        <v>962656</v>
      </c>
      <c r="I73">
        <v>562</v>
      </c>
      <c r="J73">
        <v>1733605</v>
      </c>
      <c r="K73">
        <v>48</v>
      </c>
      <c r="L73">
        <v>15.4</v>
      </c>
      <c r="M73" t="s">
        <v>54</v>
      </c>
      <c r="N73" t="s">
        <v>26</v>
      </c>
      <c r="O73" t="s">
        <v>27</v>
      </c>
      <c r="P73">
        <v>41678.75</v>
      </c>
      <c r="Q73">
        <v>834699.07</v>
      </c>
      <c r="R73" t="s">
        <v>35</v>
      </c>
      <c r="S73" s="1">
        <v>45584</v>
      </c>
    </row>
    <row r="74" spans="1:19" x14ac:dyDescent="0.25">
      <c r="A74" s="5" t="s">
        <v>185</v>
      </c>
      <c r="B74" s="5" t="s">
        <v>186</v>
      </c>
      <c r="C74" s="5" t="s">
        <v>31</v>
      </c>
      <c r="D74" s="5">
        <v>51</v>
      </c>
      <c r="E74" s="5" t="s">
        <v>32</v>
      </c>
      <c r="F74" s="5" t="s">
        <v>23</v>
      </c>
      <c r="G74" s="5" t="s">
        <v>33</v>
      </c>
      <c r="H74" s="5">
        <v>1204230</v>
      </c>
      <c r="I74">
        <v>668</v>
      </c>
      <c r="J74">
        <v>1722787</v>
      </c>
      <c r="K74">
        <v>36</v>
      </c>
      <c r="L74">
        <v>9.7100000000000009</v>
      </c>
      <c r="M74" t="s">
        <v>5</v>
      </c>
      <c r="N74" t="s">
        <v>51</v>
      </c>
      <c r="O74" t="s">
        <v>27</v>
      </c>
      <c r="P74">
        <v>52501.93</v>
      </c>
      <c r="Q74">
        <v>1259663.45</v>
      </c>
      <c r="R74" t="s">
        <v>28</v>
      </c>
      <c r="S74" s="1">
        <v>45960</v>
      </c>
    </row>
    <row r="75" spans="1:19" x14ac:dyDescent="0.25">
      <c r="A75" s="5" t="s">
        <v>187</v>
      </c>
      <c r="B75" s="5" t="s">
        <v>188</v>
      </c>
      <c r="C75" s="5" t="s">
        <v>31</v>
      </c>
      <c r="D75" s="5">
        <v>55</v>
      </c>
      <c r="E75" s="5" t="s">
        <v>22</v>
      </c>
      <c r="F75" s="5" t="s">
        <v>42</v>
      </c>
      <c r="G75" s="5" t="s">
        <v>24</v>
      </c>
      <c r="H75" s="5">
        <v>586841</v>
      </c>
      <c r="I75">
        <v>833</v>
      </c>
      <c r="J75">
        <v>363255</v>
      </c>
      <c r="K75">
        <v>60</v>
      </c>
      <c r="L75">
        <v>13.18</v>
      </c>
      <c r="M75" t="s">
        <v>57</v>
      </c>
      <c r="N75" t="s">
        <v>38</v>
      </c>
      <c r="O75" t="s">
        <v>27</v>
      </c>
      <c r="P75">
        <v>6852.2</v>
      </c>
      <c r="Q75">
        <v>260621.26</v>
      </c>
      <c r="R75" t="s">
        <v>28</v>
      </c>
      <c r="S75" s="1">
        <v>45772</v>
      </c>
    </row>
    <row r="76" spans="1:19" x14ac:dyDescent="0.25">
      <c r="A76" s="5" t="s">
        <v>189</v>
      </c>
      <c r="B76" s="5" t="s">
        <v>190</v>
      </c>
      <c r="C76" s="5" t="s">
        <v>31</v>
      </c>
      <c r="D76" s="5">
        <v>46</v>
      </c>
      <c r="E76" s="5" t="s">
        <v>22</v>
      </c>
      <c r="F76" s="5" t="s">
        <v>23</v>
      </c>
      <c r="G76" s="5" t="s">
        <v>33</v>
      </c>
      <c r="H76" s="5">
        <v>893693</v>
      </c>
      <c r="I76">
        <v>822</v>
      </c>
      <c r="J76">
        <v>1002075</v>
      </c>
      <c r="K76">
        <v>60</v>
      </c>
      <c r="L76">
        <v>15.24</v>
      </c>
      <c r="M76" t="s">
        <v>57</v>
      </c>
      <c r="N76" t="s">
        <v>34</v>
      </c>
      <c r="O76" t="s">
        <v>27</v>
      </c>
      <c r="P76">
        <v>19246.52</v>
      </c>
      <c r="Q76">
        <v>595228.22</v>
      </c>
      <c r="R76" t="s">
        <v>28</v>
      </c>
      <c r="S76" s="1">
        <v>45885</v>
      </c>
    </row>
    <row r="77" spans="1:19" x14ac:dyDescent="0.25">
      <c r="A77" s="5" t="s">
        <v>191</v>
      </c>
      <c r="B77" s="5" t="s">
        <v>192</v>
      </c>
      <c r="C77" s="5" t="s">
        <v>31</v>
      </c>
      <c r="D77" s="5">
        <v>22</v>
      </c>
      <c r="E77" s="5" t="s">
        <v>22</v>
      </c>
      <c r="F77" s="5" t="s">
        <v>42</v>
      </c>
      <c r="G77" s="5" t="s">
        <v>24</v>
      </c>
      <c r="H77" s="5">
        <v>1735740</v>
      </c>
      <c r="I77">
        <v>796</v>
      </c>
      <c r="J77">
        <v>1635912</v>
      </c>
      <c r="K77">
        <v>84</v>
      </c>
      <c r="L77">
        <v>11.94</v>
      </c>
      <c r="M77" t="s">
        <v>25</v>
      </c>
      <c r="N77" t="s">
        <v>44</v>
      </c>
      <c r="O77" t="s">
        <v>27</v>
      </c>
      <c r="P77">
        <v>21800.47</v>
      </c>
      <c r="Q77">
        <v>1440249.44</v>
      </c>
      <c r="R77" t="s">
        <v>28</v>
      </c>
      <c r="S77" s="1">
        <v>45793</v>
      </c>
    </row>
    <row r="78" spans="1:19" x14ac:dyDescent="0.25">
      <c r="A78" s="5" t="s">
        <v>193</v>
      </c>
      <c r="B78" s="5" t="s">
        <v>194</v>
      </c>
      <c r="C78" s="5" t="s">
        <v>21</v>
      </c>
      <c r="D78" s="5">
        <v>24</v>
      </c>
      <c r="E78" s="5" t="s">
        <v>32</v>
      </c>
      <c r="F78" s="5" t="s">
        <v>42</v>
      </c>
      <c r="G78" s="5" t="s">
        <v>24</v>
      </c>
      <c r="H78" s="5">
        <v>1359190</v>
      </c>
      <c r="I78">
        <v>806</v>
      </c>
      <c r="J78">
        <v>937981</v>
      </c>
      <c r="K78">
        <v>240</v>
      </c>
      <c r="L78">
        <v>10.9</v>
      </c>
      <c r="M78" t="s">
        <v>43</v>
      </c>
      <c r="N78" t="s">
        <v>104</v>
      </c>
      <c r="O78" t="s">
        <v>27</v>
      </c>
      <c r="P78">
        <v>4334.25</v>
      </c>
      <c r="Q78">
        <v>265193.77</v>
      </c>
      <c r="R78" t="s">
        <v>28</v>
      </c>
      <c r="S78" s="1">
        <v>45801</v>
      </c>
    </row>
    <row r="79" spans="1:19" x14ac:dyDescent="0.25">
      <c r="A79" s="5" t="s">
        <v>195</v>
      </c>
      <c r="B79" s="5" t="s">
        <v>196</v>
      </c>
      <c r="C79" s="5" t="s">
        <v>31</v>
      </c>
      <c r="D79" s="5">
        <v>46</v>
      </c>
      <c r="E79" s="5" t="s">
        <v>22</v>
      </c>
      <c r="F79" s="5" t="s">
        <v>23</v>
      </c>
      <c r="G79" s="5" t="s">
        <v>24</v>
      </c>
      <c r="H79" s="5">
        <v>1538284</v>
      </c>
      <c r="I79">
        <v>744</v>
      </c>
      <c r="J79">
        <v>1498345</v>
      </c>
      <c r="K79">
        <v>12</v>
      </c>
      <c r="L79">
        <v>7.88</v>
      </c>
      <c r="M79" t="s">
        <v>25</v>
      </c>
      <c r="N79" t="s">
        <v>26</v>
      </c>
      <c r="O79" t="s">
        <v>27</v>
      </c>
      <c r="P79">
        <v>134701.22</v>
      </c>
      <c r="Q79">
        <v>1247817.6000000001</v>
      </c>
      <c r="R79" t="s">
        <v>28</v>
      </c>
      <c r="S79" s="1">
        <v>45509</v>
      </c>
    </row>
    <row r="80" spans="1:19" x14ac:dyDescent="0.25">
      <c r="A80" s="5" t="s">
        <v>197</v>
      </c>
      <c r="B80" s="5" t="s">
        <v>198</v>
      </c>
      <c r="C80" s="5" t="s">
        <v>31</v>
      </c>
      <c r="D80" s="5">
        <v>37</v>
      </c>
      <c r="E80" s="5" t="s">
        <v>22</v>
      </c>
      <c r="F80" s="5" t="s">
        <v>42</v>
      </c>
      <c r="G80" s="5" t="s">
        <v>33</v>
      </c>
      <c r="H80" s="5">
        <v>812730</v>
      </c>
      <c r="I80">
        <v>661</v>
      </c>
      <c r="J80">
        <v>842563</v>
      </c>
      <c r="K80">
        <v>60</v>
      </c>
      <c r="L80">
        <v>11.7</v>
      </c>
      <c r="M80" t="s">
        <v>43</v>
      </c>
      <c r="N80" t="s">
        <v>34</v>
      </c>
      <c r="O80" t="s">
        <v>27</v>
      </c>
      <c r="P80">
        <v>15685.71</v>
      </c>
      <c r="Q80">
        <v>280672.15000000002</v>
      </c>
      <c r="R80" t="s">
        <v>28</v>
      </c>
      <c r="S80" s="1">
        <v>45479</v>
      </c>
    </row>
    <row r="81" spans="1:19" x14ac:dyDescent="0.25">
      <c r="A81" s="5" t="s">
        <v>199</v>
      </c>
      <c r="B81" s="5" t="s">
        <v>200</v>
      </c>
      <c r="C81" s="5" t="s">
        <v>21</v>
      </c>
      <c r="D81" s="5">
        <v>46</v>
      </c>
      <c r="E81" s="5" t="s">
        <v>32</v>
      </c>
      <c r="F81" s="5" t="s">
        <v>23</v>
      </c>
      <c r="G81" s="5" t="s">
        <v>33</v>
      </c>
      <c r="H81" s="5">
        <v>1696721</v>
      </c>
      <c r="I81">
        <v>612</v>
      </c>
      <c r="J81">
        <v>1137761</v>
      </c>
      <c r="K81">
        <v>48</v>
      </c>
      <c r="L81">
        <v>10.78</v>
      </c>
      <c r="M81" t="s">
        <v>43</v>
      </c>
      <c r="N81" t="s">
        <v>44</v>
      </c>
      <c r="O81" t="s">
        <v>27</v>
      </c>
      <c r="P81">
        <v>26258.58</v>
      </c>
      <c r="Q81">
        <v>712064.5</v>
      </c>
      <c r="R81" t="s">
        <v>28</v>
      </c>
      <c r="S81" s="1">
        <v>45736</v>
      </c>
    </row>
    <row r="82" spans="1:19" x14ac:dyDescent="0.25">
      <c r="A82" s="5" t="s">
        <v>201</v>
      </c>
      <c r="B82" s="5" t="s">
        <v>202</v>
      </c>
      <c r="C82" s="5" t="s">
        <v>31</v>
      </c>
      <c r="D82" s="5">
        <v>23</v>
      </c>
      <c r="E82" s="5" t="s">
        <v>22</v>
      </c>
      <c r="F82" s="5" t="s">
        <v>42</v>
      </c>
      <c r="G82" s="5" t="s">
        <v>24</v>
      </c>
      <c r="H82" s="5">
        <v>404122</v>
      </c>
      <c r="I82">
        <v>770</v>
      </c>
      <c r="J82">
        <v>472834</v>
      </c>
      <c r="K82">
        <v>36</v>
      </c>
      <c r="L82">
        <v>13.31</v>
      </c>
      <c r="M82" t="s">
        <v>43</v>
      </c>
      <c r="N82" t="s">
        <v>26</v>
      </c>
      <c r="O82" t="s">
        <v>27</v>
      </c>
      <c r="P82">
        <v>14882.45</v>
      </c>
      <c r="Q82">
        <v>311998.53000000003</v>
      </c>
      <c r="R82" t="s">
        <v>28</v>
      </c>
      <c r="S82" s="1">
        <v>45921</v>
      </c>
    </row>
    <row r="83" spans="1:19" x14ac:dyDescent="0.25">
      <c r="A83" s="5" t="s">
        <v>203</v>
      </c>
      <c r="B83" s="5" t="s">
        <v>204</v>
      </c>
      <c r="C83" s="5" t="s">
        <v>31</v>
      </c>
      <c r="D83" s="5">
        <v>27</v>
      </c>
      <c r="E83" s="5" t="s">
        <v>32</v>
      </c>
      <c r="F83" s="5" t="s">
        <v>42</v>
      </c>
      <c r="G83" s="5" t="s">
        <v>24</v>
      </c>
      <c r="H83" s="5">
        <v>691402</v>
      </c>
      <c r="I83">
        <v>699</v>
      </c>
      <c r="J83">
        <v>454673</v>
      </c>
      <c r="K83">
        <v>240</v>
      </c>
      <c r="L83">
        <v>12.02</v>
      </c>
      <c r="M83" t="s">
        <v>43</v>
      </c>
      <c r="N83" t="s">
        <v>26</v>
      </c>
      <c r="O83" t="s">
        <v>27</v>
      </c>
      <c r="P83">
        <v>2122.19</v>
      </c>
      <c r="Q83">
        <v>307140.51</v>
      </c>
      <c r="R83" t="s">
        <v>28</v>
      </c>
      <c r="S83" s="1">
        <v>45633</v>
      </c>
    </row>
    <row r="84" spans="1:19" x14ac:dyDescent="0.25">
      <c r="A84" s="5" t="s">
        <v>205</v>
      </c>
      <c r="B84" s="5" t="s">
        <v>206</v>
      </c>
      <c r="C84" s="5" t="s">
        <v>31</v>
      </c>
      <c r="D84" s="5">
        <v>53</v>
      </c>
      <c r="E84" s="5" t="s">
        <v>22</v>
      </c>
      <c r="F84" s="5" t="s">
        <v>23</v>
      </c>
      <c r="G84" s="5" t="s">
        <v>24</v>
      </c>
      <c r="H84" s="5">
        <v>436398</v>
      </c>
      <c r="I84">
        <v>674</v>
      </c>
      <c r="J84">
        <v>106473</v>
      </c>
      <c r="K84">
        <v>24</v>
      </c>
      <c r="L84">
        <v>13.92</v>
      </c>
      <c r="M84" t="s">
        <v>5</v>
      </c>
      <c r="N84" t="s">
        <v>38</v>
      </c>
      <c r="O84" t="s">
        <v>27</v>
      </c>
      <c r="P84">
        <v>5053.92</v>
      </c>
      <c r="Q84">
        <v>73496.34</v>
      </c>
      <c r="R84" t="s">
        <v>28</v>
      </c>
      <c r="S84" s="1">
        <v>45884</v>
      </c>
    </row>
    <row r="85" spans="1:19" x14ac:dyDescent="0.25">
      <c r="A85" s="5" t="s">
        <v>207</v>
      </c>
      <c r="B85" s="5" t="s">
        <v>208</v>
      </c>
      <c r="C85" s="5" t="s">
        <v>21</v>
      </c>
      <c r="D85" s="5">
        <v>52</v>
      </c>
      <c r="E85" s="5" t="s">
        <v>22</v>
      </c>
      <c r="F85" s="5" t="s">
        <v>23</v>
      </c>
      <c r="G85" s="5" t="s">
        <v>33</v>
      </c>
      <c r="H85" s="5">
        <v>1137562</v>
      </c>
      <c r="I85">
        <v>727</v>
      </c>
      <c r="J85">
        <v>1577301</v>
      </c>
      <c r="K85">
        <v>12</v>
      </c>
      <c r="L85">
        <v>12.95</v>
      </c>
      <c r="M85" t="s">
        <v>25</v>
      </c>
      <c r="N85" t="s">
        <v>51</v>
      </c>
      <c r="O85" t="s">
        <v>27</v>
      </c>
      <c r="P85">
        <v>148463.46</v>
      </c>
      <c r="Q85">
        <v>456781.04</v>
      </c>
      <c r="R85" t="s">
        <v>28</v>
      </c>
      <c r="S85" s="1">
        <v>45911</v>
      </c>
    </row>
    <row r="86" spans="1:19" x14ac:dyDescent="0.25">
      <c r="A86" s="5" t="s">
        <v>209</v>
      </c>
      <c r="B86" s="5" t="s">
        <v>210</v>
      </c>
      <c r="C86" s="5" t="s">
        <v>31</v>
      </c>
      <c r="D86" s="5">
        <v>59</v>
      </c>
      <c r="E86" s="5" t="s">
        <v>22</v>
      </c>
      <c r="F86" s="5" t="s">
        <v>23</v>
      </c>
      <c r="G86" s="5" t="s">
        <v>24</v>
      </c>
      <c r="H86" s="5">
        <v>1545651</v>
      </c>
      <c r="I86">
        <v>563</v>
      </c>
      <c r="J86">
        <v>1788593</v>
      </c>
      <c r="K86">
        <v>84</v>
      </c>
      <c r="L86">
        <v>9.2100000000000009</v>
      </c>
      <c r="M86" t="s">
        <v>25</v>
      </c>
      <c r="N86" t="s">
        <v>51</v>
      </c>
      <c r="O86" t="s">
        <v>39</v>
      </c>
      <c r="P86">
        <v>23253.84</v>
      </c>
      <c r="Q86">
        <v>693130.65</v>
      </c>
      <c r="R86" t="s">
        <v>28</v>
      </c>
      <c r="S86" s="1">
        <v>45906</v>
      </c>
    </row>
    <row r="87" spans="1:19" x14ac:dyDescent="0.25">
      <c r="A87" s="5" t="s">
        <v>211</v>
      </c>
      <c r="B87" s="5" t="s">
        <v>212</v>
      </c>
      <c r="C87" s="5" t="s">
        <v>31</v>
      </c>
      <c r="D87" s="5">
        <v>43</v>
      </c>
      <c r="E87" s="5" t="s">
        <v>32</v>
      </c>
      <c r="F87" s="5" t="s">
        <v>23</v>
      </c>
      <c r="G87" s="5" t="s">
        <v>33</v>
      </c>
      <c r="H87" s="5">
        <v>1126848</v>
      </c>
      <c r="I87">
        <v>680</v>
      </c>
      <c r="J87">
        <v>1044350</v>
      </c>
      <c r="K87">
        <v>36</v>
      </c>
      <c r="L87">
        <v>10.27</v>
      </c>
      <c r="M87" t="s">
        <v>54</v>
      </c>
      <c r="N87" t="s">
        <v>34</v>
      </c>
      <c r="O87" t="s">
        <v>27</v>
      </c>
      <c r="P87">
        <v>31989.02</v>
      </c>
      <c r="Q87">
        <v>737003.9</v>
      </c>
      <c r="R87" t="s">
        <v>28</v>
      </c>
      <c r="S87" s="1">
        <v>45887</v>
      </c>
    </row>
    <row r="88" spans="1:19" x14ac:dyDescent="0.25">
      <c r="A88" s="5" t="s">
        <v>213</v>
      </c>
      <c r="B88" s="5" t="s">
        <v>214</v>
      </c>
      <c r="C88" s="5" t="s">
        <v>31</v>
      </c>
      <c r="D88" s="5">
        <v>33</v>
      </c>
      <c r="E88" s="5" t="s">
        <v>32</v>
      </c>
      <c r="F88" s="5" t="s">
        <v>42</v>
      </c>
      <c r="G88" s="5" t="s">
        <v>33</v>
      </c>
      <c r="H88" s="5">
        <v>914038</v>
      </c>
      <c r="I88">
        <v>749</v>
      </c>
      <c r="J88">
        <v>1171684</v>
      </c>
      <c r="K88">
        <v>36</v>
      </c>
      <c r="L88">
        <v>13.44</v>
      </c>
      <c r="M88" t="s">
        <v>25</v>
      </c>
      <c r="N88" t="s">
        <v>34</v>
      </c>
      <c r="O88" t="s">
        <v>27</v>
      </c>
      <c r="P88">
        <v>36921.06</v>
      </c>
      <c r="Q88">
        <v>815689.29</v>
      </c>
      <c r="R88" t="s">
        <v>28</v>
      </c>
      <c r="S88" s="1">
        <v>45388</v>
      </c>
    </row>
    <row r="89" spans="1:19" x14ac:dyDescent="0.25">
      <c r="A89" s="5" t="s">
        <v>215</v>
      </c>
      <c r="B89" s="5" t="s">
        <v>216</v>
      </c>
      <c r="C89" s="5" t="s">
        <v>21</v>
      </c>
      <c r="D89" s="5">
        <v>53</v>
      </c>
      <c r="E89" s="5" t="s">
        <v>32</v>
      </c>
      <c r="F89" s="5" t="s">
        <v>42</v>
      </c>
      <c r="G89" s="5" t="s">
        <v>33</v>
      </c>
      <c r="H89" s="5">
        <v>441946</v>
      </c>
      <c r="I89">
        <v>685</v>
      </c>
      <c r="J89">
        <v>645582</v>
      </c>
      <c r="K89">
        <v>36</v>
      </c>
      <c r="L89">
        <v>10.119999999999999</v>
      </c>
      <c r="M89" t="s">
        <v>5</v>
      </c>
      <c r="N89" t="s">
        <v>44</v>
      </c>
      <c r="O89" t="s">
        <v>27</v>
      </c>
      <c r="P89">
        <v>19747.64</v>
      </c>
      <c r="Q89">
        <v>134072.95000000001</v>
      </c>
      <c r="R89" t="s">
        <v>28</v>
      </c>
      <c r="S89" s="1">
        <v>45874</v>
      </c>
    </row>
    <row r="90" spans="1:19" x14ac:dyDescent="0.25">
      <c r="A90" s="5" t="s">
        <v>217</v>
      </c>
      <c r="B90" s="5" t="s">
        <v>218</v>
      </c>
      <c r="C90" s="5" t="s">
        <v>21</v>
      </c>
      <c r="D90" s="5">
        <v>48</v>
      </c>
      <c r="E90" s="5" t="s">
        <v>32</v>
      </c>
      <c r="F90" s="5" t="s">
        <v>23</v>
      </c>
      <c r="G90" s="5" t="s">
        <v>24</v>
      </c>
      <c r="H90" s="5">
        <v>281749</v>
      </c>
      <c r="I90">
        <v>633</v>
      </c>
      <c r="J90">
        <v>1109727</v>
      </c>
      <c r="K90">
        <v>84</v>
      </c>
      <c r="L90">
        <v>7.7</v>
      </c>
      <c r="M90" t="s">
        <v>43</v>
      </c>
      <c r="N90" t="s">
        <v>34</v>
      </c>
      <c r="O90" t="s">
        <v>39</v>
      </c>
      <c r="P90">
        <v>14228.29</v>
      </c>
      <c r="Q90">
        <v>242776.06</v>
      </c>
      <c r="R90" t="s">
        <v>28</v>
      </c>
      <c r="S90" s="1">
        <v>45617</v>
      </c>
    </row>
    <row r="91" spans="1:19" x14ac:dyDescent="0.25">
      <c r="A91" s="5" t="s">
        <v>219</v>
      </c>
      <c r="B91" s="5" t="s">
        <v>220</v>
      </c>
      <c r="C91" s="5" t="s">
        <v>21</v>
      </c>
      <c r="D91" s="5">
        <v>31</v>
      </c>
      <c r="E91" s="5" t="s">
        <v>22</v>
      </c>
      <c r="F91" s="5" t="s">
        <v>42</v>
      </c>
      <c r="G91" s="5" t="s">
        <v>33</v>
      </c>
      <c r="H91" s="5">
        <v>1180700</v>
      </c>
      <c r="I91">
        <v>610</v>
      </c>
      <c r="J91">
        <v>684476</v>
      </c>
      <c r="K91">
        <v>12</v>
      </c>
      <c r="L91">
        <v>8.15</v>
      </c>
      <c r="M91" t="s">
        <v>25</v>
      </c>
      <c r="N91" t="s">
        <v>44</v>
      </c>
      <c r="O91" t="s">
        <v>27</v>
      </c>
      <c r="P91">
        <v>61688.4</v>
      </c>
      <c r="Q91">
        <v>82451.070000000007</v>
      </c>
      <c r="R91" t="s">
        <v>35</v>
      </c>
      <c r="S91" s="1">
        <v>45454</v>
      </c>
    </row>
    <row r="92" spans="1:19" x14ac:dyDescent="0.25">
      <c r="A92" s="5" t="s">
        <v>221</v>
      </c>
      <c r="B92" s="5" t="s">
        <v>222</v>
      </c>
      <c r="C92" s="5" t="s">
        <v>31</v>
      </c>
      <c r="D92" s="5">
        <v>35</v>
      </c>
      <c r="E92" s="5" t="s">
        <v>22</v>
      </c>
      <c r="F92" s="5" t="s">
        <v>42</v>
      </c>
      <c r="G92" s="5" t="s">
        <v>24</v>
      </c>
      <c r="H92" s="5">
        <v>1936424</v>
      </c>
      <c r="I92">
        <v>702</v>
      </c>
      <c r="J92">
        <v>431183</v>
      </c>
      <c r="K92">
        <v>60</v>
      </c>
      <c r="L92">
        <v>13.43</v>
      </c>
      <c r="M92" t="s">
        <v>5</v>
      </c>
      <c r="N92" t="s">
        <v>26</v>
      </c>
      <c r="O92" t="s">
        <v>27</v>
      </c>
      <c r="P92">
        <v>8151.51</v>
      </c>
      <c r="Q92">
        <v>158619.60999999999</v>
      </c>
      <c r="R92" t="s">
        <v>28</v>
      </c>
      <c r="S92" s="1">
        <v>45293</v>
      </c>
    </row>
    <row r="93" spans="1:19" x14ac:dyDescent="0.25">
      <c r="A93" s="5" t="s">
        <v>223</v>
      </c>
      <c r="B93" s="5" t="s">
        <v>224</v>
      </c>
      <c r="C93" s="5" t="s">
        <v>21</v>
      </c>
      <c r="D93" s="5">
        <v>56</v>
      </c>
      <c r="E93" s="5" t="s">
        <v>32</v>
      </c>
      <c r="F93" s="5" t="s">
        <v>23</v>
      </c>
      <c r="G93" s="5" t="s">
        <v>24</v>
      </c>
      <c r="H93" s="5">
        <v>376555</v>
      </c>
      <c r="I93">
        <v>657</v>
      </c>
      <c r="J93">
        <v>967248</v>
      </c>
      <c r="K93">
        <v>12</v>
      </c>
      <c r="L93">
        <v>13.25</v>
      </c>
      <c r="M93" t="s">
        <v>54</v>
      </c>
      <c r="N93" t="s">
        <v>51</v>
      </c>
      <c r="O93" t="s">
        <v>39</v>
      </c>
      <c r="P93">
        <v>91284.03</v>
      </c>
      <c r="Q93">
        <v>745832.09</v>
      </c>
      <c r="R93" t="s">
        <v>28</v>
      </c>
      <c r="S93" s="1">
        <v>45328</v>
      </c>
    </row>
    <row r="94" spans="1:19" x14ac:dyDescent="0.25">
      <c r="A94" s="5" t="s">
        <v>225</v>
      </c>
      <c r="B94" s="5" t="s">
        <v>226</v>
      </c>
      <c r="C94" s="5" t="s">
        <v>21</v>
      </c>
      <c r="D94" s="5">
        <v>49</v>
      </c>
      <c r="E94" s="5" t="s">
        <v>32</v>
      </c>
      <c r="F94" s="5" t="s">
        <v>42</v>
      </c>
      <c r="G94" s="5" t="s">
        <v>24</v>
      </c>
      <c r="H94" s="5">
        <v>413382</v>
      </c>
      <c r="I94">
        <v>698</v>
      </c>
      <c r="J94">
        <v>1390474</v>
      </c>
      <c r="K94">
        <v>84</v>
      </c>
      <c r="L94">
        <v>14.23</v>
      </c>
      <c r="M94" t="s">
        <v>54</v>
      </c>
      <c r="N94" t="s">
        <v>51</v>
      </c>
      <c r="O94" t="s">
        <v>27</v>
      </c>
      <c r="P94">
        <v>18908.79</v>
      </c>
      <c r="Q94">
        <v>407914.62</v>
      </c>
      <c r="R94" t="s">
        <v>28</v>
      </c>
      <c r="S94" s="1">
        <v>45635</v>
      </c>
    </row>
    <row r="95" spans="1:19" x14ac:dyDescent="0.25">
      <c r="A95" s="5" t="s">
        <v>227</v>
      </c>
      <c r="B95" s="5" t="s">
        <v>228</v>
      </c>
      <c r="C95" s="5" t="s">
        <v>31</v>
      </c>
      <c r="D95" s="5">
        <v>34</v>
      </c>
      <c r="E95" s="5" t="s">
        <v>32</v>
      </c>
      <c r="F95" s="5" t="s">
        <v>23</v>
      </c>
      <c r="G95" s="5" t="s">
        <v>33</v>
      </c>
      <c r="H95" s="5">
        <v>1108140</v>
      </c>
      <c r="I95">
        <v>802</v>
      </c>
      <c r="J95">
        <v>101948</v>
      </c>
      <c r="K95">
        <v>240</v>
      </c>
      <c r="L95">
        <v>14.78</v>
      </c>
      <c r="M95" t="s">
        <v>43</v>
      </c>
      <c r="N95" t="s">
        <v>104</v>
      </c>
      <c r="O95" t="s">
        <v>27</v>
      </c>
      <c r="P95">
        <v>487.57</v>
      </c>
      <c r="Q95">
        <v>27178.19</v>
      </c>
      <c r="R95" t="s">
        <v>28</v>
      </c>
      <c r="S95" s="1">
        <v>45754</v>
      </c>
    </row>
    <row r="96" spans="1:19" x14ac:dyDescent="0.25">
      <c r="A96" s="5" t="s">
        <v>229</v>
      </c>
      <c r="B96" s="5" t="s">
        <v>230</v>
      </c>
      <c r="C96" s="5" t="s">
        <v>21</v>
      </c>
      <c r="D96" s="5">
        <v>30</v>
      </c>
      <c r="E96" s="5" t="s">
        <v>22</v>
      </c>
      <c r="F96" s="5" t="s">
        <v>42</v>
      </c>
      <c r="G96" s="5" t="s">
        <v>33</v>
      </c>
      <c r="H96" s="5">
        <v>518681</v>
      </c>
      <c r="I96">
        <v>619</v>
      </c>
      <c r="J96">
        <v>1055066</v>
      </c>
      <c r="K96">
        <v>48</v>
      </c>
      <c r="L96">
        <v>10.91</v>
      </c>
      <c r="M96" t="s">
        <v>54</v>
      </c>
      <c r="N96" t="s">
        <v>26</v>
      </c>
      <c r="O96" t="s">
        <v>39</v>
      </c>
      <c r="P96">
        <v>24378.62</v>
      </c>
      <c r="Q96">
        <v>912578.61</v>
      </c>
      <c r="R96" t="s">
        <v>28</v>
      </c>
      <c r="S96" s="1">
        <v>45892</v>
      </c>
    </row>
    <row r="97" spans="1:19" x14ac:dyDescent="0.25">
      <c r="A97" s="5" t="s">
        <v>231</v>
      </c>
      <c r="B97" s="5" t="s">
        <v>232</v>
      </c>
      <c r="C97" s="5" t="s">
        <v>31</v>
      </c>
      <c r="D97" s="5">
        <v>45</v>
      </c>
      <c r="E97" s="5" t="s">
        <v>32</v>
      </c>
      <c r="F97" s="5" t="s">
        <v>23</v>
      </c>
      <c r="G97" s="5" t="s">
        <v>24</v>
      </c>
      <c r="H97" s="5">
        <v>417762</v>
      </c>
      <c r="I97">
        <v>850</v>
      </c>
      <c r="J97">
        <v>1947577</v>
      </c>
      <c r="K97">
        <v>36</v>
      </c>
      <c r="L97">
        <v>10.25</v>
      </c>
      <c r="M97" t="s">
        <v>5</v>
      </c>
      <c r="N97" t="s">
        <v>34</v>
      </c>
      <c r="O97" t="s">
        <v>27</v>
      </c>
      <c r="P97">
        <v>59644.55</v>
      </c>
      <c r="Q97">
        <v>1421503.49</v>
      </c>
      <c r="R97" t="s">
        <v>28</v>
      </c>
      <c r="S97" s="1">
        <v>45896</v>
      </c>
    </row>
    <row r="98" spans="1:19" x14ac:dyDescent="0.25">
      <c r="A98" s="5" t="s">
        <v>233</v>
      </c>
      <c r="B98" s="5" t="s">
        <v>234</v>
      </c>
      <c r="C98" s="5" t="s">
        <v>31</v>
      </c>
      <c r="D98" s="5">
        <v>51</v>
      </c>
      <c r="E98" s="5" t="s">
        <v>32</v>
      </c>
      <c r="F98" s="5" t="s">
        <v>42</v>
      </c>
      <c r="G98" s="5" t="s">
        <v>33</v>
      </c>
      <c r="H98" s="5">
        <v>669188</v>
      </c>
      <c r="I98">
        <v>571</v>
      </c>
      <c r="J98">
        <v>1832157</v>
      </c>
      <c r="K98">
        <v>48</v>
      </c>
      <c r="L98">
        <v>10.49</v>
      </c>
      <c r="M98" t="s">
        <v>5</v>
      </c>
      <c r="N98" t="s">
        <v>34</v>
      </c>
      <c r="O98" t="s">
        <v>27</v>
      </c>
      <c r="P98">
        <v>42173.96</v>
      </c>
      <c r="Q98">
        <v>1087888.56</v>
      </c>
      <c r="R98" t="s">
        <v>35</v>
      </c>
      <c r="S98" s="1">
        <v>45415</v>
      </c>
    </row>
    <row r="99" spans="1:19" x14ac:dyDescent="0.25">
      <c r="A99" s="5" t="s">
        <v>235</v>
      </c>
      <c r="B99" s="5" t="s">
        <v>236</v>
      </c>
      <c r="C99" s="5" t="s">
        <v>21</v>
      </c>
      <c r="D99" s="5">
        <v>27</v>
      </c>
      <c r="E99" s="5" t="s">
        <v>22</v>
      </c>
      <c r="F99" s="5" t="s">
        <v>23</v>
      </c>
      <c r="G99" s="5" t="s">
        <v>24</v>
      </c>
      <c r="H99" s="5">
        <v>441619</v>
      </c>
      <c r="I99">
        <v>809</v>
      </c>
      <c r="J99">
        <v>775166</v>
      </c>
      <c r="K99">
        <v>36</v>
      </c>
      <c r="L99">
        <v>10.01</v>
      </c>
      <c r="M99" t="s">
        <v>43</v>
      </c>
      <c r="N99" t="s">
        <v>38</v>
      </c>
      <c r="O99" t="s">
        <v>27</v>
      </c>
      <c r="P99">
        <v>23687.78</v>
      </c>
      <c r="Q99">
        <v>656478.09</v>
      </c>
      <c r="R99" t="s">
        <v>28</v>
      </c>
      <c r="S99" s="1">
        <v>45851</v>
      </c>
    </row>
    <row r="100" spans="1:19" x14ac:dyDescent="0.25">
      <c r="A100" s="5" t="s">
        <v>237</v>
      </c>
      <c r="B100" s="5" t="s">
        <v>238</v>
      </c>
      <c r="C100" s="5" t="s">
        <v>21</v>
      </c>
      <c r="D100" s="5">
        <v>48</v>
      </c>
      <c r="E100" s="5" t="s">
        <v>22</v>
      </c>
      <c r="F100" s="5" t="s">
        <v>23</v>
      </c>
      <c r="G100" s="5" t="s">
        <v>24</v>
      </c>
      <c r="H100" s="5">
        <v>1711306</v>
      </c>
      <c r="I100">
        <v>757</v>
      </c>
      <c r="J100">
        <v>568035</v>
      </c>
      <c r="K100">
        <v>48</v>
      </c>
      <c r="L100">
        <v>9.09</v>
      </c>
      <c r="M100" t="s">
        <v>57</v>
      </c>
      <c r="N100" t="s">
        <v>38</v>
      </c>
      <c r="O100" t="s">
        <v>27</v>
      </c>
      <c r="P100">
        <v>12909.78</v>
      </c>
      <c r="Q100">
        <v>117433.69</v>
      </c>
      <c r="R100" t="s">
        <v>28</v>
      </c>
      <c r="S100" s="1">
        <v>45423</v>
      </c>
    </row>
    <row r="101" spans="1:19" x14ac:dyDescent="0.25">
      <c r="A101" s="5" t="s">
        <v>239</v>
      </c>
      <c r="B101" s="5" t="s">
        <v>240</v>
      </c>
      <c r="C101" s="5" t="s">
        <v>31</v>
      </c>
      <c r="D101" s="5">
        <v>33</v>
      </c>
      <c r="E101" s="5" t="s">
        <v>32</v>
      </c>
      <c r="F101" s="5" t="s">
        <v>42</v>
      </c>
      <c r="G101" s="5" t="s">
        <v>33</v>
      </c>
      <c r="H101" s="5">
        <v>1679723</v>
      </c>
      <c r="I101">
        <v>740</v>
      </c>
      <c r="J101">
        <v>1216550</v>
      </c>
      <c r="K101">
        <v>12</v>
      </c>
      <c r="L101">
        <v>15.11</v>
      </c>
      <c r="M101" t="s">
        <v>54</v>
      </c>
      <c r="N101" t="s">
        <v>26</v>
      </c>
      <c r="O101" t="s">
        <v>27</v>
      </c>
      <c r="P101">
        <v>116697.56</v>
      </c>
      <c r="Q101">
        <v>283600.78999999998</v>
      </c>
      <c r="R101" t="s">
        <v>28</v>
      </c>
      <c r="S101" s="1">
        <v>45719</v>
      </c>
    </row>
    <row r="102" spans="1:19" x14ac:dyDescent="0.25">
      <c r="A102" s="5" t="s">
        <v>241</v>
      </c>
      <c r="B102" s="5" t="s">
        <v>242</v>
      </c>
      <c r="C102" s="5" t="s">
        <v>21</v>
      </c>
      <c r="D102" s="5">
        <v>50</v>
      </c>
      <c r="E102" s="5" t="s">
        <v>22</v>
      </c>
      <c r="F102" s="5" t="s">
        <v>42</v>
      </c>
      <c r="G102" s="5" t="s">
        <v>33</v>
      </c>
      <c r="H102" s="5">
        <v>412280</v>
      </c>
      <c r="I102">
        <v>642</v>
      </c>
      <c r="J102">
        <v>1652687</v>
      </c>
      <c r="K102">
        <v>60</v>
      </c>
      <c r="L102">
        <v>10</v>
      </c>
      <c r="M102" t="s">
        <v>54</v>
      </c>
      <c r="N102" t="s">
        <v>51</v>
      </c>
      <c r="O102" t="s">
        <v>39</v>
      </c>
      <c r="P102">
        <v>30299.26</v>
      </c>
      <c r="Q102">
        <v>515176.6</v>
      </c>
      <c r="R102" t="s">
        <v>28</v>
      </c>
      <c r="S102" s="1">
        <v>45392</v>
      </c>
    </row>
    <row r="103" spans="1:19" x14ac:dyDescent="0.25">
      <c r="A103" s="5" t="s">
        <v>243</v>
      </c>
      <c r="B103" s="5" t="s">
        <v>244</v>
      </c>
      <c r="C103" s="5" t="s">
        <v>21</v>
      </c>
      <c r="D103" s="5">
        <v>51</v>
      </c>
      <c r="E103" s="5" t="s">
        <v>22</v>
      </c>
      <c r="F103" s="5" t="s">
        <v>23</v>
      </c>
      <c r="G103" s="5" t="s">
        <v>24</v>
      </c>
      <c r="H103" s="5">
        <v>434183</v>
      </c>
      <c r="I103">
        <v>747</v>
      </c>
      <c r="J103">
        <v>140473</v>
      </c>
      <c r="K103">
        <v>36</v>
      </c>
      <c r="L103">
        <v>12.26</v>
      </c>
      <c r="M103" t="s">
        <v>5</v>
      </c>
      <c r="N103" t="s">
        <v>26</v>
      </c>
      <c r="O103" t="s">
        <v>27</v>
      </c>
      <c r="P103">
        <v>4380.42</v>
      </c>
      <c r="Q103">
        <v>32566.38</v>
      </c>
      <c r="R103" t="s">
        <v>28</v>
      </c>
      <c r="S103" s="1">
        <v>45698</v>
      </c>
    </row>
    <row r="104" spans="1:19" x14ac:dyDescent="0.25">
      <c r="A104" s="5" t="s">
        <v>245</v>
      </c>
      <c r="B104" s="5" t="s">
        <v>246</v>
      </c>
      <c r="C104" s="5" t="s">
        <v>21</v>
      </c>
      <c r="D104" s="5">
        <v>34</v>
      </c>
      <c r="E104" s="5" t="s">
        <v>22</v>
      </c>
      <c r="F104" s="5" t="s">
        <v>42</v>
      </c>
      <c r="G104" s="5" t="s">
        <v>24</v>
      </c>
      <c r="H104" s="5">
        <v>798475</v>
      </c>
      <c r="I104">
        <v>678</v>
      </c>
      <c r="J104">
        <v>173500</v>
      </c>
      <c r="K104">
        <v>24</v>
      </c>
      <c r="L104">
        <v>9.0399999999999991</v>
      </c>
      <c r="M104" t="s">
        <v>43</v>
      </c>
      <c r="N104" t="s">
        <v>26</v>
      </c>
      <c r="O104" t="s">
        <v>27</v>
      </c>
      <c r="P104">
        <v>7882.68</v>
      </c>
      <c r="Q104">
        <v>62809.21</v>
      </c>
      <c r="R104" t="s">
        <v>28</v>
      </c>
      <c r="S104" s="1">
        <v>45436</v>
      </c>
    </row>
    <row r="105" spans="1:19" x14ac:dyDescent="0.25">
      <c r="A105" s="5" t="s">
        <v>247</v>
      </c>
      <c r="B105" s="5" t="s">
        <v>248</v>
      </c>
      <c r="C105" s="5" t="s">
        <v>31</v>
      </c>
      <c r="D105" s="5">
        <v>48</v>
      </c>
      <c r="E105" s="5" t="s">
        <v>22</v>
      </c>
      <c r="F105" s="5" t="s">
        <v>42</v>
      </c>
      <c r="G105" s="5" t="s">
        <v>33</v>
      </c>
      <c r="H105" s="5">
        <v>483648</v>
      </c>
      <c r="I105">
        <v>610</v>
      </c>
      <c r="J105">
        <v>1517996</v>
      </c>
      <c r="K105">
        <v>12</v>
      </c>
      <c r="L105">
        <v>10.81</v>
      </c>
      <c r="M105" t="s">
        <v>5</v>
      </c>
      <c r="N105" t="s">
        <v>38</v>
      </c>
      <c r="O105" t="s">
        <v>39</v>
      </c>
      <c r="P105">
        <v>140174.28</v>
      </c>
      <c r="Q105">
        <v>1340460.4099999999</v>
      </c>
      <c r="R105" t="s">
        <v>28</v>
      </c>
      <c r="S105" s="1">
        <v>45539</v>
      </c>
    </row>
    <row r="106" spans="1:19" x14ac:dyDescent="0.25">
      <c r="A106" s="5" t="s">
        <v>249</v>
      </c>
      <c r="B106" s="5" t="s">
        <v>250</v>
      </c>
      <c r="C106" s="5" t="s">
        <v>21</v>
      </c>
      <c r="D106" s="5">
        <v>29</v>
      </c>
      <c r="E106" s="5" t="s">
        <v>32</v>
      </c>
      <c r="F106" s="5" t="s">
        <v>23</v>
      </c>
      <c r="G106" s="5" t="s">
        <v>24</v>
      </c>
      <c r="H106" s="5">
        <v>744830</v>
      </c>
      <c r="I106">
        <v>810</v>
      </c>
      <c r="J106">
        <v>303433</v>
      </c>
      <c r="K106">
        <v>36</v>
      </c>
      <c r="L106">
        <v>9.5500000000000007</v>
      </c>
      <c r="M106" t="s">
        <v>25</v>
      </c>
      <c r="N106" t="s">
        <v>44</v>
      </c>
      <c r="O106" t="s">
        <v>27</v>
      </c>
      <c r="P106">
        <v>9233.6299999999992</v>
      </c>
      <c r="Q106">
        <v>292208.59000000003</v>
      </c>
      <c r="R106" t="s">
        <v>28</v>
      </c>
      <c r="S106" s="1">
        <v>45507</v>
      </c>
    </row>
    <row r="107" spans="1:19" x14ac:dyDescent="0.25">
      <c r="A107" s="5" t="s">
        <v>251</v>
      </c>
      <c r="B107" s="5" t="s">
        <v>252</v>
      </c>
      <c r="C107" s="5" t="s">
        <v>31</v>
      </c>
      <c r="D107" s="5">
        <v>22</v>
      </c>
      <c r="E107" s="5" t="s">
        <v>22</v>
      </c>
      <c r="F107" s="5" t="s">
        <v>42</v>
      </c>
      <c r="G107" s="5" t="s">
        <v>24</v>
      </c>
      <c r="H107" s="5">
        <v>1712148</v>
      </c>
      <c r="I107">
        <v>848</v>
      </c>
      <c r="J107">
        <v>1744642</v>
      </c>
      <c r="K107">
        <v>84</v>
      </c>
      <c r="L107">
        <v>12.87</v>
      </c>
      <c r="M107" t="s">
        <v>5</v>
      </c>
      <c r="N107" t="s">
        <v>26</v>
      </c>
      <c r="O107" t="s">
        <v>27</v>
      </c>
      <c r="P107">
        <v>23442.59</v>
      </c>
      <c r="Q107">
        <v>1381219.97</v>
      </c>
      <c r="R107" t="s">
        <v>28</v>
      </c>
      <c r="S107" s="1">
        <v>45769</v>
      </c>
    </row>
    <row r="108" spans="1:19" x14ac:dyDescent="0.25">
      <c r="A108" s="5" t="s">
        <v>253</v>
      </c>
      <c r="B108" s="5" t="s">
        <v>254</v>
      </c>
      <c r="C108" s="5" t="s">
        <v>31</v>
      </c>
      <c r="D108" s="5">
        <v>27</v>
      </c>
      <c r="E108" s="5" t="s">
        <v>22</v>
      </c>
      <c r="F108" s="5" t="s">
        <v>23</v>
      </c>
      <c r="G108" s="5" t="s">
        <v>33</v>
      </c>
      <c r="H108" s="5">
        <v>1761152</v>
      </c>
      <c r="I108">
        <v>702</v>
      </c>
      <c r="J108">
        <v>900742</v>
      </c>
      <c r="K108">
        <v>60</v>
      </c>
      <c r="L108">
        <v>13.43</v>
      </c>
      <c r="M108" t="s">
        <v>57</v>
      </c>
      <c r="N108" t="s">
        <v>34</v>
      </c>
      <c r="O108" t="s">
        <v>27</v>
      </c>
      <c r="P108">
        <v>17028.53</v>
      </c>
      <c r="Q108">
        <v>206630.76</v>
      </c>
      <c r="R108" t="s">
        <v>28</v>
      </c>
      <c r="S108" s="1">
        <v>45558</v>
      </c>
    </row>
    <row r="109" spans="1:19" x14ac:dyDescent="0.25">
      <c r="A109" s="5" t="s">
        <v>255</v>
      </c>
      <c r="B109" s="5" t="s">
        <v>256</v>
      </c>
      <c r="C109" s="5" t="s">
        <v>31</v>
      </c>
      <c r="D109" s="5">
        <v>44</v>
      </c>
      <c r="E109" s="5" t="s">
        <v>32</v>
      </c>
      <c r="F109" s="5" t="s">
        <v>42</v>
      </c>
      <c r="G109" s="5" t="s">
        <v>24</v>
      </c>
      <c r="H109" s="5">
        <v>383044</v>
      </c>
      <c r="I109">
        <v>746</v>
      </c>
      <c r="J109">
        <v>1767538</v>
      </c>
      <c r="K109">
        <v>48</v>
      </c>
      <c r="L109">
        <v>10.44</v>
      </c>
      <c r="M109" t="s">
        <v>43</v>
      </c>
      <c r="N109" t="s">
        <v>34</v>
      </c>
      <c r="O109" t="s">
        <v>27</v>
      </c>
      <c r="P109">
        <v>40668.1</v>
      </c>
      <c r="Q109">
        <v>287777.96999999997</v>
      </c>
      <c r="R109" t="s">
        <v>28</v>
      </c>
      <c r="S109" s="1">
        <v>45979</v>
      </c>
    </row>
    <row r="110" spans="1:19" x14ac:dyDescent="0.25">
      <c r="A110" s="5" t="s">
        <v>257</v>
      </c>
      <c r="B110" s="5" t="s">
        <v>258</v>
      </c>
      <c r="C110" s="5" t="s">
        <v>31</v>
      </c>
      <c r="D110" s="5">
        <v>59</v>
      </c>
      <c r="E110" s="5" t="s">
        <v>22</v>
      </c>
      <c r="F110" s="5" t="s">
        <v>42</v>
      </c>
      <c r="G110" s="5" t="s">
        <v>24</v>
      </c>
      <c r="H110" s="5">
        <v>1750614</v>
      </c>
      <c r="I110">
        <v>658</v>
      </c>
      <c r="J110">
        <v>1245591</v>
      </c>
      <c r="K110">
        <v>12</v>
      </c>
      <c r="L110">
        <v>14.99</v>
      </c>
      <c r="M110" t="s">
        <v>54</v>
      </c>
      <c r="N110" t="s">
        <v>104</v>
      </c>
      <c r="O110" t="s">
        <v>27</v>
      </c>
      <c r="P110">
        <v>119358.76</v>
      </c>
      <c r="Q110">
        <v>538959.35</v>
      </c>
      <c r="R110" t="s">
        <v>28</v>
      </c>
      <c r="S110" s="1">
        <v>45658</v>
      </c>
    </row>
    <row r="111" spans="1:19" x14ac:dyDescent="0.25">
      <c r="A111" s="5" t="s">
        <v>259</v>
      </c>
      <c r="B111" s="5" t="s">
        <v>260</v>
      </c>
      <c r="C111" s="5" t="s">
        <v>31</v>
      </c>
      <c r="D111" s="5">
        <v>26</v>
      </c>
      <c r="E111" s="5" t="s">
        <v>32</v>
      </c>
      <c r="F111" s="5" t="s">
        <v>42</v>
      </c>
      <c r="G111" s="5" t="s">
        <v>24</v>
      </c>
      <c r="H111" s="5">
        <v>313620</v>
      </c>
      <c r="I111">
        <v>780</v>
      </c>
      <c r="J111">
        <v>606913</v>
      </c>
      <c r="K111">
        <v>48</v>
      </c>
      <c r="L111">
        <v>10.69</v>
      </c>
      <c r="M111" t="s">
        <v>57</v>
      </c>
      <c r="N111" t="s">
        <v>44</v>
      </c>
      <c r="O111" t="s">
        <v>39</v>
      </c>
      <c r="P111">
        <v>13995.67</v>
      </c>
      <c r="Q111">
        <v>210808.5</v>
      </c>
      <c r="R111" t="s">
        <v>28</v>
      </c>
      <c r="S111" s="1">
        <v>45821</v>
      </c>
    </row>
    <row r="112" spans="1:19" x14ac:dyDescent="0.25">
      <c r="A112" s="5" t="s">
        <v>261</v>
      </c>
      <c r="B112" s="5" t="s">
        <v>262</v>
      </c>
      <c r="C112" s="5" t="s">
        <v>21</v>
      </c>
      <c r="D112" s="5">
        <v>59</v>
      </c>
      <c r="E112" s="5" t="s">
        <v>22</v>
      </c>
      <c r="F112" s="5" t="s">
        <v>23</v>
      </c>
      <c r="G112" s="5" t="s">
        <v>33</v>
      </c>
      <c r="H112" s="5">
        <v>1393598</v>
      </c>
      <c r="I112">
        <v>657</v>
      </c>
      <c r="J112">
        <v>1214917</v>
      </c>
      <c r="K112">
        <v>84</v>
      </c>
      <c r="L112">
        <v>10.27</v>
      </c>
      <c r="M112" t="s">
        <v>43</v>
      </c>
      <c r="N112" t="s">
        <v>38</v>
      </c>
      <c r="O112" t="s">
        <v>27</v>
      </c>
      <c r="P112">
        <v>15948.68</v>
      </c>
      <c r="Q112">
        <v>516756.34</v>
      </c>
      <c r="R112" t="s">
        <v>28</v>
      </c>
      <c r="S112" s="1">
        <v>45548</v>
      </c>
    </row>
    <row r="113" spans="1:19" x14ac:dyDescent="0.25">
      <c r="A113" s="5" t="s">
        <v>263</v>
      </c>
      <c r="B113" s="5" t="s">
        <v>264</v>
      </c>
      <c r="C113" s="5" t="s">
        <v>21</v>
      </c>
      <c r="D113" s="5">
        <v>51</v>
      </c>
      <c r="E113" s="5" t="s">
        <v>22</v>
      </c>
      <c r="F113" s="5" t="s">
        <v>42</v>
      </c>
      <c r="G113" s="5" t="s">
        <v>24</v>
      </c>
      <c r="H113" s="5">
        <v>585022</v>
      </c>
      <c r="I113">
        <v>587</v>
      </c>
      <c r="J113">
        <v>1246302</v>
      </c>
      <c r="K113">
        <v>36</v>
      </c>
      <c r="L113">
        <v>13.4</v>
      </c>
      <c r="M113" t="s">
        <v>57</v>
      </c>
      <c r="N113" t="s">
        <v>26</v>
      </c>
      <c r="O113" t="s">
        <v>39</v>
      </c>
      <c r="P113">
        <v>39258.51</v>
      </c>
      <c r="Q113">
        <v>424657.67</v>
      </c>
      <c r="R113" t="s">
        <v>28</v>
      </c>
      <c r="S113" s="1">
        <v>45712</v>
      </c>
    </row>
    <row r="114" spans="1:19" x14ac:dyDescent="0.25">
      <c r="A114" s="5" t="s">
        <v>265</v>
      </c>
      <c r="B114" s="5" t="s">
        <v>266</v>
      </c>
      <c r="C114" s="5" t="s">
        <v>21</v>
      </c>
      <c r="D114" s="5">
        <v>48</v>
      </c>
      <c r="E114" s="5" t="s">
        <v>22</v>
      </c>
      <c r="F114" s="5" t="s">
        <v>42</v>
      </c>
      <c r="G114" s="5" t="s">
        <v>24</v>
      </c>
      <c r="H114" s="5">
        <v>1737931</v>
      </c>
      <c r="I114">
        <v>551</v>
      </c>
      <c r="J114">
        <v>1455417</v>
      </c>
      <c r="K114">
        <v>24</v>
      </c>
      <c r="L114">
        <v>12.89</v>
      </c>
      <c r="M114" t="s">
        <v>25</v>
      </c>
      <c r="N114" t="s">
        <v>34</v>
      </c>
      <c r="O114" t="s">
        <v>27</v>
      </c>
      <c r="P114">
        <v>68459.179999999993</v>
      </c>
      <c r="Q114">
        <v>564801.63</v>
      </c>
      <c r="R114" t="s">
        <v>35</v>
      </c>
      <c r="S114" s="1">
        <v>45984</v>
      </c>
    </row>
    <row r="115" spans="1:19" x14ac:dyDescent="0.25">
      <c r="A115" s="5" t="s">
        <v>267</v>
      </c>
      <c r="B115" s="5" t="s">
        <v>268</v>
      </c>
      <c r="C115" s="5" t="s">
        <v>31</v>
      </c>
      <c r="D115" s="5">
        <v>25</v>
      </c>
      <c r="E115" s="5" t="s">
        <v>22</v>
      </c>
      <c r="F115" s="5" t="s">
        <v>42</v>
      </c>
      <c r="G115" s="5" t="s">
        <v>33</v>
      </c>
      <c r="H115" s="5">
        <v>699907</v>
      </c>
      <c r="I115">
        <v>831</v>
      </c>
      <c r="J115">
        <v>418837</v>
      </c>
      <c r="K115">
        <v>240</v>
      </c>
      <c r="L115">
        <v>12.19</v>
      </c>
      <c r="M115" t="s">
        <v>5</v>
      </c>
      <c r="N115" t="s">
        <v>104</v>
      </c>
      <c r="O115" t="s">
        <v>27</v>
      </c>
      <c r="P115">
        <v>1957.89</v>
      </c>
      <c r="Q115">
        <v>353249.11</v>
      </c>
      <c r="R115" t="s">
        <v>28</v>
      </c>
      <c r="S115" s="1">
        <v>45513</v>
      </c>
    </row>
    <row r="116" spans="1:19" x14ac:dyDescent="0.25">
      <c r="A116" s="5" t="s">
        <v>269</v>
      </c>
      <c r="B116" s="5" t="s">
        <v>270</v>
      </c>
      <c r="C116" s="5" t="s">
        <v>21</v>
      </c>
      <c r="D116" s="5">
        <v>33</v>
      </c>
      <c r="E116" s="5" t="s">
        <v>22</v>
      </c>
      <c r="F116" s="5" t="s">
        <v>23</v>
      </c>
      <c r="G116" s="5" t="s">
        <v>24</v>
      </c>
      <c r="H116" s="5">
        <v>1725536</v>
      </c>
      <c r="I116">
        <v>850</v>
      </c>
      <c r="J116">
        <v>363408</v>
      </c>
      <c r="K116">
        <v>36</v>
      </c>
      <c r="L116">
        <v>12</v>
      </c>
      <c r="M116" t="s">
        <v>43</v>
      </c>
      <c r="N116" t="s">
        <v>51</v>
      </c>
      <c r="O116" t="s">
        <v>27</v>
      </c>
      <c r="P116">
        <v>11306.03</v>
      </c>
      <c r="Q116">
        <v>138071.43</v>
      </c>
      <c r="R116" t="s">
        <v>28</v>
      </c>
      <c r="S116" s="1">
        <v>45438</v>
      </c>
    </row>
    <row r="117" spans="1:19" x14ac:dyDescent="0.25">
      <c r="A117" s="5" t="s">
        <v>271</v>
      </c>
      <c r="B117" s="5" t="s">
        <v>272</v>
      </c>
      <c r="C117" s="5" t="s">
        <v>31</v>
      </c>
      <c r="D117" s="5">
        <v>28</v>
      </c>
      <c r="E117" s="5" t="s">
        <v>22</v>
      </c>
      <c r="F117" s="5" t="s">
        <v>42</v>
      </c>
      <c r="G117" s="5" t="s">
        <v>24</v>
      </c>
      <c r="H117" s="5">
        <v>1876613</v>
      </c>
      <c r="I117">
        <v>665</v>
      </c>
      <c r="J117">
        <v>243175</v>
      </c>
      <c r="K117">
        <v>60</v>
      </c>
      <c r="L117">
        <v>10.32</v>
      </c>
      <c r="M117" t="s">
        <v>43</v>
      </c>
      <c r="N117" t="s">
        <v>26</v>
      </c>
      <c r="O117" t="s">
        <v>27</v>
      </c>
      <c r="P117">
        <v>4471.18</v>
      </c>
      <c r="Q117">
        <v>27539.68</v>
      </c>
      <c r="R117" t="s">
        <v>28</v>
      </c>
      <c r="S117" s="1">
        <v>45294</v>
      </c>
    </row>
    <row r="118" spans="1:19" x14ac:dyDescent="0.25">
      <c r="A118" s="5" t="s">
        <v>273</v>
      </c>
      <c r="B118" s="5" t="s">
        <v>274</v>
      </c>
      <c r="C118" s="5" t="s">
        <v>21</v>
      </c>
      <c r="D118" s="5">
        <v>39</v>
      </c>
      <c r="E118" s="5" t="s">
        <v>32</v>
      </c>
      <c r="F118" s="5" t="s">
        <v>42</v>
      </c>
      <c r="G118" s="5" t="s">
        <v>33</v>
      </c>
      <c r="H118" s="5">
        <v>1531229</v>
      </c>
      <c r="I118">
        <v>808</v>
      </c>
      <c r="J118">
        <v>1898144</v>
      </c>
      <c r="K118">
        <v>36</v>
      </c>
      <c r="L118">
        <v>11.12</v>
      </c>
      <c r="M118" t="s">
        <v>5</v>
      </c>
      <c r="N118" t="s">
        <v>44</v>
      </c>
      <c r="O118" t="s">
        <v>27</v>
      </c>
      <c r="P118">
        <v>58589.38</v>
      </c>
      <c r="Q118">
        <v>1015654.11</v>
      </c>
      <c r="R118" t="s">
        <v>28</v>
      </c>
      <c r="S118" s="1">
        <v>45833</v>
      </c>
    </row>
    <row r="119" spans="1:19" x14ac:dyDescent="0.25">
      <c r="A119" s="5" t="s">
        <v>275</v>
      </c>
      <c r="B119" s="5" t="s">
        <v>276</v>
      </c>
      <c r="C119" s="5" t="s">
        <v>21</v>
      </c>
      <c r="D119" s="5">
        <v>43</v>
      </c>
      <c r="E119" s="5" t="s">
        <v>22</v>
      </c>
      <c r="F119" s="5" t="s">
        <v>23</v>
      </c>
      <c r="G119" s="5" t="s">
        <v>33</v>
      </c>
      <c r="H119" s="5">
        <v>1366162</v>
      </c>
      <c r="I119">
        <v>680</v>
      </c>
      <c r="J119">
        <v>144842</v>
      </c>
      <c r="K119">
        <v>120</v>
      </c>
      <c r="L119">
        <v>7.68</v>
      </c>
      <c r="M119" t="s">
        <v>54</v>
      </c>
      <c r="N119" t="s">
        <v>38</v>
      </c>
      <c r="O119" t="s">
        <v>27</v>
      </c>
      <c r="P119">
        <v>1299.72</v>
      </c>
      <c r="Q119">
        <v>79679.7</v>
      </c>
      <c r="R119" t="s">
        <v>28</v>
      </c>
      <c r="S119" s="1">
        <v>45340</v>
      </c>
    </row>
    <row r="120" spans="1:19" x14ac:dyDescent="0.25">
      <c r="A120" s="5" t="s">
        <v>277</v>
      </c>
      <c r="B120" s="5" t="s">
        <v>278</v>
      </c>
      <c r="C120" s="5" t="s">
        <v>31</v>
      </c>
      <c r="D120" s="5">
        <v>54</v>
      </c>
      <c r="E120" s="5" t="s">
        <v>32</v>
      </c>
      <c r="F120" s="5" t="s">
        <v>42</v>
      </c>
      <c r="G120" s="5" t="s">
        <v>33</v>
      </c>
      <c r="H120" s="5">
        <v>1064142</v>
      </c>
      <c r="I120">
        <v>577</v>
      </c>
      <c r="J120">
        <v>902596</v>
      </c>
      <c r="K120">
        <v>84</v>
      </c>
      <c r="L120">
        <v>14.12</v>
      </c>
      <c r="M120" t="s">
        <v>25</v>
      </c>
      <c r="N120" t="s">
        <v>34</v>
      </c>
      <c r="O120" t="s">
        <v>27</v>
      </c>
      <c r="P120">
        <v>12262.41</v>
      </c>
      <c r="Q120">
        <v>489867.85</v>
      </c>
      <c r="R120" t="s">
        <v>35</v>
      </c>
      <c r="S120" s="1">
        <v>45327</v>
      </c>
    </row>
    <row r="121" spans="1:19" x14ac:dyDescent="0.25">
      <c r="A121" s="5" t="s">
        <v>279</v>
      </c>
      <c r="B121" s="5" t="s">
        <v>280</v>
      </c>
      <c r="C121" s="5" t="s">
        <v>31</v>
      </c>
      <c r="D121" s="5">
        <v>51</v>
      </c>
      <c r="E121" s="5" t="s">
        <v>22</v>
      </c>
      <c r="F121" s="5" t="s">
        <v>42</v>
      </c>
      <c r="G121" s="5" t="s">
        <v>33</v>
      </c>
      <c r="H121" s="5">
        <v>617682</v>
      </c>
      <c r="I121">
        <v>721</v>
      </c>
      <c r="J121">
        <v>202194</v>
      </c>
      <c r="K121">
        <v>12</v>
      </c>
      <c r="L121">
        <v>14.35</v>
      </c>
      <c r="M121" t="s">
        <v>43</v>
      </c>
      <c r="N121" t="s">
        <v>44</v>
      </c>
      <c r="O121" t="s">
        <v>27</v>
      </c>
      <c r="P121">
        <v>19267.400000000001</v>
      </c>
      <c r="Q121">
        <v>87572.43</v>
      </c>
      <c r="R121" t="s">
        <v>28</v>
      </c>
      <c r="S121" s="1">
        <v>45612</v>
      </c>
    </row>
    <row r="122" spans="1:19" x14ac:dyDescent="0.25">
      <c r="A122" s="5" t="s">
        <v>281</v>
      </c>
      <c r="B122" s="5" t="s">
        <v>282</v>
      </c>
      <c r="C122" s="5" t="s">
        <v>21</v>
      </c>
      <c r="D122" s="5">
        <v>46</v>
      </c>
      <c r="E122" s="5" t="s">
        <v>32</v>
      </c>
      <c r="F122" s="5" t="s">
        <v>42</v>
      </c>
      <c r="G122" s="5" t="s">
        <v>33</v>
      </c>
      <c r="H122" s="5">
        <v>654282</v>
      </c>
      <c r="I122">
        <v>755</v>
      </c>
      <c r="J122">
        <v>1163996</v>
      </c>
      <c r="K122">
        <v>180</v>
      </c>
      <c r="L122">
        <v>11.75</v>
      </c>
      <c r="M122" t="s">
        <v>57</v>
      </c>
      <c r="N122" t="s">
        <v>51</v>
      </c>
      <c r="O122" t="s">
        <v>27</v>
      </c>
      <c r="P122">
        <v>7226.48</v>
      </c>
      <c r="Q122">
        <v>807098.22</v>
      </c>
      <c r="R122" t="s">
        <v>28</v>
      </c>
      <c r="S122" s="1">
        <v>45722</v>
      </c>
    </row>
    <row r="123" spans="1:19" x14ac:dyDescent="0.25">
      <c r="A123" s="5" t="s">
        <v>283</v>
      </c>
      <c r="B123" s="5" t="s">
        <v>284</v>
      </c>
      <c r="C123" s="5" t="s">
        <v>31</v>
      </c>
      <c r="D123" s="5">
        <v>36</v>
      </c>
      <c r="E123" s="5" t="s">
        <v>32</v>
      </c>
      <c r="F123" s="5" t="s">
        <v>42</v>
      </c>
      <c r="G123" s="5" t="s">
        <v>24</v>
      </c>
      <c r="H123" s="5">
        <v>1388478</v>
      </c>
      <c r="I123">
        <v>620</v>
      </c>
      <c r="J123">
        <v>1935583</v>
      </c>
      <c r="K123">
        <v>24</v>
      </c>
      <c r="L123">
        <v>13.34</v>
      </c>
      <c r="M123" t="s">
        <v>25</v>
      </c>
      <c r="N123" t="s">
        <v>104</v>
      </c>
      <c r="O123" t="s">
        <v>39</v>
      </c>
      <c r="P123">
        <v>91407.91</v>
      </c>
      <c r="Q123">
        <v>359080.12</v>
      </c>
      <c r="R123" t="s">
        <v>28</v>
      </c>
      <c r="S123" s="1">
        <v>45826</v>
      </c>
    </row>
    <row r="124" spans="1:19" x14ac:dyDescent="0.25">
      <c r="A124" s="5" t="s">
        <v>285</v>
      </c>
      <c r="B124" s="5" t="s">
        <v>286</v>
      </c>
      <c r="C124" s="5" t="s">
        <v>31</v>
      </c>
      <c r="D124" s="5">
        <v>56</v>
      </c>
      <c r="E124" s="5" t="s">
        <v>32</v>
      </c>
      <c r="F124" s="5" t="s">
        <v>23</v>
      </c>
      <c r="G124" s="5" t="s">
        <v>33</v>
      </c>
      <c r="H124" s="5">
        <v>906852</v>
      </c>
      <c r="I124">
        <v>568</v>
      </c>
      <c r="J124">
        <v>1994016</v>
      </c>
      <c r="K124">
        <v>12</v>
      </c>
      <c r="L124">
        <v>12.58</v>
      </c>
      <c r="M124" t="s">
        <v>43</v>
      </c>
      <c r="N124" t="s">
        <v>51</v>
      </c>
      <c r="O124" t="s">
        <v>39</v>
      </c>
      <c r="P124">
        <v>187071.93</v>
      </c>
      <c r="Q124">
        <v>1554215.77</v>
      </c>
      <c r="R124" t="s">
        <v>28</v>
      </c>
      <c r="S124" s="1">
        <v>45311</v>
      </c>
    </row>
    <row r="125" spans="1:19" x14ac:dyDescent="0.25">
      <c r="A125" s="5" t="s">
        <v>287</v>
      </c>
      <c r="B125" s="5" t="s">
        <v>288</v>
      </c>
      <c r="C125" s="5" t="s">
        <v>31</v>
      </c>
      <c r="D125" s="5">
        <v>49</v>
      </c>
      <c r="E125" s="5" t="s">
        <v>22</v>
      </c>
      <c r="F125" s="5" t="s">
        <v>23</v>
      </c>
      <c r="G125" s="5" t="s">
        <v>24</v>
      </c>
      <c r="H125" s="5">
        <v>778211</v>
      </c>
      <c r="I125">
        <v>807</v>
      </c>
      <c r="J125">
        <v>508983</v>
      </c>
      <c r="K125">
        <v>24</v>
      </c>
      <c r="L125">
        <v>13.04</v>
      </c>
      <c r="M125" t="s">
        <v>5</v>
      </c>
      <c r="N125" t="s">
        <v>44</v>
      </c>
      <c r="O125" t="s">
        <v>27</v>
      </c>
      <c r="P125">
        <v>23973.1</v>
      </c>
      <c r="Q125">
        <v>150381.56</v>
      </c>
      <c r="R125" t="s">
        <v>28</v>
      </c>
      <c r="S125" s="1">
        <v>45694</v>
      </c>
    </row>
    <row r="126" spans="1:19" x14ac:dyDescent="0.25">
      <c r="A126" s="5" t="s">
        <v>289</v>
      </c>
      <c r="B126" s="5" t="s">
        <v>290</v>
      </c>
      <c r="C126" s="5" t="s">
        <v>21</v>
      </c>
      <c r="D126" s="5">
        <v>22</v>
      </c>
      <c r="E126" s="5" t="s">
        <v>22</v>
      </c>
      <c r="F126" s="5" t="s">
        <v>23</v>
      </c>
      <c r="G126" s="5" t="s">
        <v>24</v>
      </c>
      <c r="H126" s="5">
        <v>445176</v>
      </c>
      <c r="I126">
        <v>642</v>
      </c>
      <c r="J126">
        <v>1265217</v>
      </c>
      <c r="K126">
        <v>240</v>
      </c>
      <c r="L126">
        <v>14.17</v>
      </c>
      <c r="M126" t="s">
        <v>57</v>
      </c>
      <c r="N126" t="s">
        <v>51</v>
      </c>
      <c r="O126" t="s">
        <v>39</v>
      </c>
      <c r="P126">
        <v>6018.74</v>
      </c>
      <c r="Q126">
        <v>1061430.2</v>
      </c>
      <c r="R126" t="s">
        <v>28</v>
      </c>
      <c r="S126" s="1">
        <v>45416</v>
      </c>
    </row>
    <row r="127" spans="1:19" x14ac:dyDescent="0.25">
      <c r="A127" s="5" t="s">
        <v>291</v>
      </c>
      <c r="B127" s="5" t="s">
        <v>292</v>
      </c>
      <c r="C127" s="5" t="s">
        <v>31</v>
      </c>
      <c r="D127" s="5">
        <v>44</v>
      </c>
      <c r="E127" s="5" t="s">
        <v>22</v>
      </c>
      <c r="F127" s="5" t="s">
        <v>23</v>
      </c>
      <c r="G127" s="5" t="s">
        <v>24</v>
      </c>
      <c r="H127" s="5">
        <v>1429170</v>
      </c>
      <c r="I127">
        <v>638</v>
      </c>
      <c r="J127">
        <v>187863</v>
      </c>
      <c r="K127">
        <v>60</v>
      </c>
      <c r="L127">
        <v>9.4700000000000006</v>
      </c>
      <c r="M127" t="s">
        <v>5</v>
      </c>
      <c r="N127" t="s">
        <v>38</v>
      </c>
      <c r="O127" t="s">
        <v>27</v>
      </c>
      <c r="P127">
        <v>3427.56</v>
      </c>
      <c r="Q127">
        <v>77233.539999999994</v>
      </c>
      <c r="R127" t="s">
        <v>28</v>
      </c>
      <c r="S127" s="1">
        <v>45324</v>
      </c>
    </row>
    <row r="128" spans="1:19" x14ac:dyDescent="0.25">
      <c r="A128" s="5" t="s">
        <v>293</v>
      </c>
      <c r="B128" s="5" t="s">
        <v>294</v>
      </c>
      <c r="C128" s="5" t="s">
        <v>21</v>
      </c>
      <c r="D128" s="5">
        <v>44</v>
      </c>
      <c r="E128" s="5" t="s">
        <v>22</v>
      </c>
      <c r="F128" s="5" t="s">
        <v>23</v>
      </c>
      <c r="G128" s="5" t="s">
        <v>33</v>
      </c>
      <c r="H128" s="5">
        <v>797116</v>
      </c>
      <c r="I128">
        <v>640</v>
      </c>
      <c r="J128">
        <v>1998177</v>
      </c>
      <c r="K128">
        <v>84</v>
      </c>
      <c r="L128">
        <v>15.23</v>
      </c>
      <c r="M128" t="s">
        <v>43</v>
      </c>
      <c r="N128" t="s">
        <v>34</v>
      </c>
      <c r="O128" t="s">
        <v>39</v>
      </c>
      <c r="P128">
        <v>27410.71</v>
      </c>
      <c r="Q128">
        <v>1727412.04</v>
      </c>
      <c r="R128" t="s">
        <v>28</v>
      </c>
      <c r="S128" s="1">
        <v>45532</v>
      </c>
    </row>
    <row r="129" spans="1:19" x14ac:dyDescent="0.25">
      <c r="A129" s="5" t="s">
        <v>295</v>
      </c>
      <c r="B129" s="5" t="s">
        <v>296</v>
      </c>
      <c r="C129" s="5" t="s">
        <v>21</v>
      </c>
      <c r="D129" s="5">
        <v>59</v>
      </c>
      <c r="E129" s="5" t="s">
        <v>32</v>
      </c>
      <c r="F129" s="5" t="s">
        <v>23</v>
      </c>
      <c r="G129" s="5" t="s">
        <v>33</v>
      </c>
      <c r="H129" s="5">
        <v>1269826</v>
      </c>
      <c r="I129">
        <v>595</v>
      </c>
      <c r="J129">
        <v>355802</v>
      </c>
      <c r="K129">
        <v>48</v>
      </c>
      <c r="L129">
        <v>8.32</v>
      </c>
      <c r="M129" t="s">
        <v>43</v>
      </c>
      <c r="N129" t="s">
        <v>104</v>
      </c>
      <c r="O129" t="s">
        <v>39</v>
      </c>
      <c r="P129">
        <v>8029.27</v>
      </c>
      <c r="Q129">
        <v>80417.009999999995</v>
      </c>
      <c r="R129" t="s">
        <v>28</v>
      </c>
      <c r="S129" s="1">
        <v>45308</v>
      </c>
    </row>
    <row r="130" spans="1:19" x14ac:dyDescent="0.25">
      <c r="A130" s="5" t="s">
        <v>297</v>
      </c>
      <c r="B130" s="5" t="s">
        <v>298</v>
      </c>
      <c r="C130" s="5" t="s">
        <v>21</v>
      </c>
      <c r="D130" s="5">
        <v>38</v>
      </c>
      <c r="E130" s="5" t="s">
        <v>32</v>
      </c>
      <c r="F130" s="5" t="s">
        <v>42</v>
      </c>
      <c r="G130" s="5" t="s">
        <v>33</v>
      </c>
      <c r="H130" s="5">
        <v>1490348</v>
      </c>
      <c r="I130">
        <v>567</v>
      </c>
      <c r="J130">
        <v>1830510</v>
      </c>
      <c r="K130">
        <v>24</v>
      </c>
      <c r="L130">
        <v>8.99</v>
      </c>
      <c r="M130" t="s">
        <v>25</v>
      </c>
      <c r="N130" t="s">
        <v>44</v>
      </c>
      <c r="O130" t="s">
        <v>39</v>
      </c>
      <c r="P130">
        <v>83128.039999999994</v>
      </c>
      <c r="Q130">
        <v>679302.22</v>
      </c>
      <c r="R130" t="s">
        <v>28</v>
      </c>
      <c r="S130" s="1">
        <v>45509</v>
      </c>
    </row>
    <row r="131" spans="1:19" x14ac:dyDescent="0.25">
      <c r="A131" s="5" t="s">
        <v>299</v>
      </c>
      <c r="B131" s="5" t="s">
        <v>300</v>
      </c>
      <c r="C131" s="5" t="s">
        <v>31</v>
      </c>
      <c r="D131" s="5">
        <v>41</v>
      </c>
      <c r="E131" s="5" t="s">
        <v>22</v>
      </c>
      <c r="F131" s="5" t="s">
        <v>23</v>
      </c>
      <c r="G131" s="5" t="s">
        <v>33</v>
      </c>
      <c r="H131" s="5">
        <v>1506958</v>
      </c>
      <c r="I131">
        <v>550</v>
      </c>
      <c r="J131">
        <v>1510172</v>
      </c>
      <c r="K131">
        <v>180</v>
      </c>
      <c r="L131">
        <v>8.7100000000000009</v>
      </c>
      <c r="M131" t="s">
        <v>54</v>
      </c>
      <c r="N131" t="s">
        <v>26</v>
      </c>
      <c r="O131" t="s">
        <v>27</v>
      </c>
      <c r="P131">
        <v>9120.6</v>
      </c>
      <c r="Q131">
        <v>1109576.96</v>
      </c>
      <c r="R131" t="s">
        <v>28</v>
      </c>
      <c r="S131" s="1">
        <v>45481</v>
      </c>
    </row>
    <row r="132" spans="1:19" x14ac:dyDescent="0.25">
      <c r="A132" s="5" t="s">
        <v>301</v>
      </c>
      <c r="B132" s="5" t="s">
        <v>302</v>
      </c>
      <c r="C132" s="5" t="s">
        <v>31</v>
      </c>
      <c r="D132" s="5">
        <v>56</v>
      </c>
      <c r="E132" s="5" t="s">
        <v>22</v>
      </c>
      <c r="F132" s="5" t="s">
        <v>23</v>
      </c>
      <c r="G132" s="5" t="s">
        <v>24</v>
      </c>
      <c r="H132" s="5">
        <v>1082329</v>
      </c>
      <c r="I132">
        <v>570</v>
      </c>
      <c r="J132">
        <v>848359</v>
      </c>
      <c r="K132">
        <v>60</v>
      </c>
      <c r="L132">
        <v>11.71</v>
      </c>
      <c r="M132" t="s">
        <v>25</v>
      </c>
      <c r="N132" t="s">
        <v>51</v>
      </c>
      <c r="O132" t="s">
        <v>27</v>
      </c>
      <c r="P132">
        <v>15795.03</v>
      </c>
      <c r="Q132">
        <v>284886.82</v>
      </c>
      <c r="R132" t="s">
        <v>28</v>
      </c>
      <c r="S132" s="1">
        <v>45866</v>
      </c>
    </row>
    <row r="133" spans="1:19" x14ac:dyDescent="0.25">
      <c r="A133" s="5" t="s">
        <v>303</v>
      </c>
      <c r="B133" s="5" t="s">
        <v>304</v>
      </c>
      <c r="C133" s="5" t="s">
        <v>31</v>
      </c>
      <c r="D133" s="5">
        <v>25</v>
      </c>
      <c r="E133" s="5" t="s">
        <v>32</v>
      </c>
      <c r="F133" s="5" t="s">
        <v>23</v>
      </c>
      <c r="G133" s="5" t="s">
        <v>24</v>
      </c>
      <c r="H133" s="5">
        <v>1604738</v>
      </c>
      <c r="I133">
        <v>827</v>
      </c>
      <c r="J133">
        <v>1086453</v>
      </c>
      <c r="K133">
        <v>24</v>
      </c>
      <c r="L133">
        <v>11.11</v>
      </c>
      <c r="M133" t="s">
        <v>43</v>
      </c>
      <c r="N133" t="s">
        <v>38</v>
      </c>
      <c r="O133" t="s">
        <v>27</v>
      </c>
      <c r="P133">
        <v>50298.25</v>
      </c>
      <c r="Q133">
        <v>826117.88</v>
      </c>
      <c r="R133" t="s">
        <v>28</v>
      </c>
      <c r="S133" s="1">
        <v>45930</v>
      </c>
    </row>
    <row r="134" spans="1:19" x14ac:dyDescent="0.25">
      <c r="A134" s="5" t="s">
        <v>305</v>
      </c>
      <c r="B134" s="5" t="s">
        <v>306</v>
      </c>
      <c r="C134" s="5" t="s">
        <v>21</v>
      </c>
      <c r="D134" s="5">
        <v>57</v>
      </c>
      <c r="E134" s="5" t="s">
        <v>22</v>
      </c>
      <c r="F134" s="5" t="s">
        <v>42</v>
      </c>
      <c r="G134" s="5" t="s">
        <v>33</v>
      </c>
      <c r="H134" s="5">
        <v>1248222</v>
      </c>
      <c r="I134">
        <v>758</v>
      </c>
      <c r="J134">
        <v>1056751</v>
      </c>
      <c r="K134">
        <v>180</v>
      </c>
      <c r="L134">
        <v>10.45</v>
      </c>
      <c r="M134" t="s">
        <v>54</v>
      </c>
      <c r="N134" t="s">
        <v>104</v>
      </c>
      <c r="O134" t="s">
        <v>27</v>
      </c>
      <c r="P134">
        <v>6484.34</v>
      </c>
      <c r="Q134">
        <v>745635.53</v>
      </c>
      <c r="R134" t="s">
        <v>28</v>
      </c>
      <c r="S134" s="1">
        <v>45756</v>
      </c>
    </row>
    <row r="135" spans="1:19" x14ac:dyDescent="0.25">
      <c r="A135" s="5" t="s">
        <v>307</v>
      </c>
      <c r="B135" s="5" t="s">
        <v>308</v>
      </c>
      <c r="C135" s="5" t="s">
        <v>31</v>
      </c>
      <c r="D135" s="5">
        <v>55</v>
      </c>
      <c r="E135" s="5" t="s">
        <v>32</v>
      </c>
      <c r="F135" s="5" t="s">
        <v>23</v>
      </c>
      <c r="G135" s="5" t="s">
        <v>24</v>
      </c>
      <c r="H135" s="5">
        <v>897186</v>
      </c>
      <c r="I135">
        <v>734</v>
      </c>
      <c r="J135">
        <v>233213</v>
      </c>
      <c r="K135">
        <v>12</v>
      </c>
      <c r="L135">
        <v>11.57</v>
      </c>
      <c r="M135" t="s">
        <v>43</v>
      </c>
      <c r="N135" t="s">
        <v>34</v>
      </c>
      <c r="O135" t="s">
        <v>27</v>
      </c>
      <c r="P135">
        <v>21682.98</v>
      </c>
      <c r="Q135">
        <v>142424.44</v>
      </c>
      <c r="R135" t="s">
        <v>28</v>
      </c>
      <c r="S135" s="1">
        <v>45452</v>
      </c>
    </row>
    <row r="136" spans="1:19" x14ac:dyDescent="0.25">
      <c r="A136" s="5" t="s">
        <v>309</v>
      </c>
      <c r="B136" s="5" t="s">
        <v>310</v>
      </c>
      <c r="C136" s="5" t="s">
        <v>31</v>
      </c>
      <c r="D136" s="5">
        <v>26</v>
      </c>
      <c r="E136" s="5" t="s">
        <v>22</v>
      </c>
      <c r="F136" s="5" t="s">
        <v>23</v>
      </c>
      <c r="G136" s="5" t="s">
        <v>33</v>
      </c>
      <c r="H136" s="5">
        <v>1215463</v>
      </c>
      <c r="I136">
        <v>736</v>
      </c>
      <c r="J136">
        <v>1021504</v>
      </c>
      <c r="K136">
        <v>48</v>
      </c>
      <c r="L136">
        <v>12.91</v>
      </c>
      <c r="M136" t="s">
        <v>57</v>
      </c>
      <c r="N136" t="s">
        <v>51</v>
      </c>
      <c r="O136" t="s">
        <v>27</v>
      </c>
      <c r="P136">
        <v>24028.75</v>
      </c>
      <c r="Q136">
        <v>598240.68999999994</v>
      </c>
      <c r="R136" t="s">
        <v>28</v>
      </c>
      <c r="S136" s="1">
        <v>45480</v>
      </c>
    </row>
    <row r="137" spans="1:19" x14ac:dyDescent="0.25">
      <c r="A137" s="5" t="s">
        <v>311</v>
      </c>
      <c r="B137" s="5" t="s">
        <v>312</v>
      </c>
      <c r="C137" s="5" t="s">
        <v>21</v>
      </c>
      <c r="D137" s="5">
        <v>22</v>
      </c>
      <c r="E137" s="5" t="s">
        <v>22</v>
      </c>
      <c r="F137" s="5" t="s">
        <v>42</v>
      </c>
      <c r="G137" s="5" t="s">
        <v>24</v>
      </c>
      <c r="H137" s="5">
        <v>294721</v>
      </c>
      <c r="I137">
        <v>712</v>
      </c>
      <c r="J137">
        <v>812424</v>
      </c>
      <c r="K137">
        <v>84</v>
      </c>
      <c r="L137">
        <v>15.24</v>
      </c>
      <c r="M137" t="s">
        <v>5</v>
      </c>
      <c r="N137" t="s">
        <v>26</v>
      </c>
      <c r="O137" t="s">
        <v>39</v>
      </c>
      <c r="P137">
        <v>11145.68</v>
      </c>
      <c r="Q137">
        <v>99621.25</v>
      </c>
      <c r="R137" t="s">
        <v>28</v>
      </c>
      <c r="S137" s="1">
        <v>45580</v>
      </c>
    </row>
    <row r="138" spans="1:19" x14ac:dyDescent="0.25">
      <c r="A138" s="5" t="s">
        <v>313</v>
      </c>
      <c r="B138" s="5" t="s">
        <v>314</v>
      </c>
      <c r="C138" s="5" t="s">
        <v>31</v>
      </c>
      <c r="D138" s="5">
        <v>39</v>
      </c>
      <c r="E138" s="5" t="s">
        <v>32</v>
      </c>
      <c r="F138" s="5" t="s">
        <v>42</v>
      </c>
      <c r="G138" s="5" t="s">
        <v>33</v>
      </c>
      <c r="H138" s="5">
        <v>1437858</v>
      </c>
      <c r="I138">
        <v>644</v>
      </c>
      <c r="J138">
        <v>624004</v>
      </c>
      <c r="K138">
        <v>120</v>
      </c>
      <c r="L138">
        <v>12.6</v>
      </c>
      <c r="M138" t="s">
        <v>5</v>
      </c>
      <c r="N138" t="s">
        <v>44</v>
      </c>
      <c r="O138" t="s">
        <v>39</v>
      </c>
      <c r="P138">
        <v>5855.24</v>
      </c>
      <c r="Q138">
        <v>136345.89000000001</v>
      </c>
      <c r="R138" t="s">
        <v>28</v>
      </c>
      <c r="S138" s="1">
        <v>45971</v>
      </c>
    </row>
    <row r="139" spans="1:19" x14ac:dyDescent="0.25">
      <c r="A139" s="5" t="s">
        <v>315</v>
      </c>
      <c r="B139" s="5" t="s">
        <v>316</v>
      </c>
      <c r="C139" s="5" t="s">
        <v>31</v>
      </c>
      <c r="D139" s="5">
        <v>23</v>
      </c>
      <c r="E139" s="5" t="s">
        <v>32</v>
      </c>
      <c r="F139" s="5" t="s">
        <v>42</v>
      </c>
      <c r="G139" s="5" t="s">
        <v>33</v>
      </c>
      <c r="H139" s="5">
        <v>1376461</v>
      </c>
      <c r="I139">
        <v>659</v>
      </c>
      <c r="J139">
        <v>599057</v>
      </c>
      <c r="K139">
        <v>24</v>
      </c>
      <c r="L139">
        <v>12.54</v>
      </c>
      <c r="M139" t="s">
        <v>43</v>
      </c>
      <c r="N139" t="s">
        <v>34</v>
      </c>
      <c r="O139" t="s">
        <v>27</v>
      </c>
      <c r="P139">
        <v>28090.78</v>
      </c>
      <c r="Q139">
        <v>366966.72</v>
      </c>
      <c r="R139" t="s">
        <v>28</v>
      </c>
      <c r="S139" s="1">
        <v>45723</v>
      </c>
    </row>
    <row r="140" spans="1:19" x14ac:dyDescent="0.25">
      <c r="A140" s="5" t="s">
        <v>317</v>
      </c>
      <c r="B140" s="5" t="s">
        <v>318</v>
      </c>
      <c r="C140" s="5" t="s">
        <v>21</v>
      </c>
      <c r="D140" s="5">
        <v>39</v>
      </c>
      <c r="E140" s="5" t="s">
        <v>32</v>
      </c>
      <c r="F140" s="5" t="s">
        <v>23</v>
      </c>
      <c r="G140" s="5" t="s">
        <v>33</v>
      </c>
      <c r="H140" s="5">
        <v>807791</v>
      </c>
      <c r="I140">
        <v>824</v>
      </c>
      <c r="J140">
        <v>491292</v>
      </c>
      <c r="K140">
        <v>36</v>
      </c>
      <c r="L140">
        <v>9.3000000000000007</v>
      </c>
      <c r="M140" t="s">
        <v>57</v>
      </c>
      <c r="N140" t="s">
        <v>38</v>
      </c>
      <c r="O140" t="s">
        <v>27</v>
      </c>
      <c r="P140">
        <v>14916.17</v>
      </c>
      <c r="Q140">
        <v>159740.29999999999</v>
      </c>
      <c r="R140" t="s">
        <v>28</v>
      </c>
      <c r="S140" s="1">
        <v>45531</v>
      </c>
    </row>
    <row r="141" spans="1:19" x14ac:dyDescent="0.25">
      <c r="A141" s="5" t="s">
        <v>319</v>
      </c>
      <c r="B141" s="5" t="s">
        <v>320</v>
      </c>
      <c r="C141" s="5" t="s">
        <v>31</v>
      </c>
      <c r="D141" s="5">
        <v>24</v>
      </c>
      <c r="E141" s="5" t="s">
        <v>32</v>
      </c>
      <c r="F141" s="5" t="s">
        <v>23</v>
      </c>
      <c r="G141" s="5" t="s">
        <v>24</v>
      </c>
      <c r="H141" s="5">
        <v>954927</v>
      </c>
      <c r="I141">
        <v>767</v>
      </c>
      <c r="J141">
        <v>1029788</v>
      </c>
      <c r="K141">
        <v>240</v>
      </c>
      <c r="L141">
        <v>11.34</v>
      </c>
      <c r="M141" t="s">
        <v>25</v>
      </c>
      <c r="N141" t="s">
        <v>26</v>
      </c>
      <c r="O141" t="s">
        <v>27</v>
      </c>
      <c r="P141">
        <v>4777.3599999999997</v>
      </c>
      <c r="Q141">
        <v>267213.15000000002</v>
      </c>
      <c r="R141" t="s">
        <v>28</v>
      </c>
      <c r="S141" s="1">
        <v>45405</v>
      </c>
    </row>
    <row r="142" spans="1:19" x14ac:dyDescent="0.25">
      <c r="A142" s="5" t="s">
        <v>321</v>
      </c>
      <c r="B142" s="5" t="s">
        <v>322</v>
      </c>
      <c r="C142" s="5" t="s">
        <v>21</v>
      </c>
      <c r="D142" s="5">
        <v>50</v>
      </c>
      <c r="E142" s="5" t="s">
        <v>22</v>
      </c>
      <c r="F142" s="5" t="s">
        <v>42</v>
      </c>
      <c r="G142" s="5" t="s">
        <v>33</v>
      </c>
      <c r="H142" s="5">
        <v>751908</v>
      </c>
      <c r="I142">
        <v>639</v>
      </c>
      <c r="J142">
        <v>617154</v>
      </c>
      <c r="K142">
        <v>60</v>
      </c>
      <c r="L142">
        <v>14.39</v>
      </c>
      <c r="M142" t="s">
        <v>25</v>
      </c>
      <c r="N142" t="s">
        <v>104</v>
      </c>
      <c r="O142" t="s">
        <v>39</v>
      </c>
      <c r="P142">
        <v>11766.04</v>
      </c>
      <c r="Q142">
        <v>210931.28</v>
      </c>
      <c r="R142" t="s">
        <v>28</v>
      </c>
      <c r="S142" s="1">
        <v>45354</v>
      </c>
    </row>
    <row r="143" spans="1:19" x14ac:dyDescent="0.25">
      <c r="A143" s="5" t="s">
        <v>323</v>
      </c>
      <c r="B143" s="5" t="s">
        <v>324</v>
      </c>
      <c r="C143" s="5" t="s">
        <v>31</v>
      </c>
      <c r="D143" s="5">
        <v>41</v>
      </c>
      <c r="E143" s="5" t="s">
        <v>22</v>
      </c>
      <c r="F143" s="5" t="s">
        <v>42</v>
      </c>
      <c r="G143" s="5" t="s">
        <v>33</v>
      </c>
      <c r="H143" s="5">
        <v>1757643</v>
      </c>
      <c r="I143">
        <v>783</v>
      </c>
      <c r="J143">
        <v>758780</v>
      </c>
      <c r="K143">
        <v>60</v>
      </c>
      <c r="L143">
        <v>8.0500000000000007</v>
      </c>
      <c r="M143" t="s">
        <v>57</v>
      </c>
      <c r="N143" t="s">
        <v>38</v>
      </c>
      <c r="O143" t="s">
        <v>27</v>
      </c>
      <c r="P143">
        <v>13664.36</v>
      </c>
      <c r="Q143">
        <v>304799.24</v>
      </c>
      <c r="R143" t="s">
        <v>28</v>
      </c>
      <c r="S143" s="1">
        <v>45898</v>
      </c>
    </row>
    <row r="144" spans="1:19" x14ac:dyDescent="0.25">
      <c r="A144" s="5" t="s">
        <v>325</v>
      </c>
      <c r="B144" s="5" t="s">
        <v>326</v>
      </c>
      <c r="C144" s="5" t="s">
        <v>21</v>
      </c>
      <c r="D144" s="5">
        <v>42</v>
      </c>
      <c r="E144" s="5" t="s">
        <v>22</v>
      </c>
      <c r="F144" s="5" t="s">
        <v>42</v>
      </c>
      <c r="G144" s="5" t="s">
        <v>24</v>
      </c>
      <c r="H144" s="5">
        <v>285117</v>
      </c>
      <c r="I144">
        <v>750</v>
      </c>
      <c r="J144">
        <v>686341</v>
      </c>
      <c r="K144">
        <v>84</v>
      </c>
      <c r="L144">
        <v>10.47</v>
      </c>
      <c r="M144" t="s">
        <v>54</v>
      </c>
      <c r="N144" t="s">
        <v>34</v>
      </c>
      <c r="O144" t="s">
        <v>27</v>
      </c>
      <c r="P144">
        <v>9026.2000000000007</v>
      </c>
      <c r="Q144">
        <v>390882.06</v>
      </c>
      <c r="R144" t="s">
        <v>28</v>
      </c>
      <c r="S144" s="1">
        <v>45496</v>
      </c>
    </row>
    <row r="145" spans="1:19" x14ac:dyDescent="0.25">
      <c r="A145" s="5" t="s">
        <v>327</v>
      </c>
      <c r="B145" s="5" t="s">
        <v>328</v>
      </c>
      <c r="C145" s="5" t="s">
        <v>21</v>
      </c>
      <c r="D145" s="5">
        <v>27</v>
      </c>
      <c r="E145" s="5" t="s">
        <v>32</v>
      </c>
      <c r="F145" s="5" t="s">
        <v>42</v>
      </c>
      <c r="G145" s="5" t="s">
        <v>33</v>
      </c>
      <c r="H145" s="5">
        <v>715257</v>
      </c>
      <c r="I145">
        <v>651</v>
      </c>
      <c r="J145">
        <v>487448</v>
      </c>
      <c r="K145">
        <v>24</v>
      </c>
      <c r="L145">
        <v>13.95</v>
      </c>
      <c r="M145" t="s">
        <v>57</v>
      </c>
      <c r="N145" t="s">
        <v>104</v>
      </c>
      <c r="O145" t="s">
        <v>27</v>
      </c>
      <c r="P145">
        <v>23143.62</v>
      </c>
      <c r="Q145">
        <v>384590.06</v>
      </c>
      <c r="R145" t="s">
        <v>28</v>
      </c>
      <c r="S145" s="1">
        <v>45322</v>
      </c>
    </row>
    <row r="146" spans="1:19" x14ac:dyDescent="0.25">
      <c r="A146" s="5" t="s">
        <v>329</v>
      </c>
      <c r="B146" s="5" t="s">
        <v>330</v>
      </c>
      <c r="C146" s="5" t="s">
        <v>21</v>
      </c>
      <c r="D146" s="5">
        <v>40</v>
      </c>
      <c r="E146" s="5" t="s">
        <v>32</v>
      </c>
      <c r="F146" s="5" t="s">
        <v>23</v>
      </c>
      <c r="G146" s="5" t="s">
        <v>24</v>
      </c>
      <c r="H146" s="5">
        <v>1443118</v>
      </c>
      <c r="I146">
        <v>625</v>
      </c>
      <c r="J146">
        <v>1126163</v>
      </c>
      <c r="K146">
        <v>24</v>
      </c>
      <c r="L146">
        <v>8.91</v>
      </c>
      <c r="M146" t="s">
        <v>25</v>
      </c>
      <c r="N146" t="s">
        <v>104</v>
      </c>
      <c r="O146" t="s">
        <v>27</v>
      </c>
      <c r="P146">
        <v>51104.34</v>
      </c>
      <c r="Q146">
        <v>255138.89</v>
      </c>
      <c r="R146" t="s">
        <v>28</v>
      </c>
      <c r="S146" s="1">
        <v>45558</v>
      </c>
    </row>
    <row r="147" spans="1:19" x14ac:dyDescent="0.25">
      <c r="A147" s="5" t="s">
        <v>331</v>
      </c>
      <c r="B147" s="5" t="s">
        <v>332</v>
      </c>
      <c r="C147" s="5" t="s">
        <v>21</v>
      </c>
      <c r="D147" s="5">
        <v>31</v>
      </c>
      <c r="E147" s="5" t="s">
        <v>22</v>
      </c>
      <c r="F147" s="5" t="s">
        <v>23</v>
      </c>
      <c r="G147" s="5" t="s">
        <v>24</v>
      </c>
      <c r="H147" s="5">
        <v>1412776</v>
      </c>
      <c r="I147">
        <v>747</v>
      </c>
      <c r="J147">
        <v>1031047</v>
      </c>
      <c r="K147">
        <v>84</v>
      </c>
      <c r="L147">
        <v>13.82</v>
      </c>
      <c r="M147" t="s">
        <v>25</v>
      </c>
      <c r="N147" t="s">
        <v>44</v>
      </c>
      <c r="O147" t="s">
        <v>27</v>
      </c>
      <c r="P147">
        <v>13970.69</v>
      </c>
      <c r="Q147">
        <v>592388.30000000005</v>
      </c>
      <c r="R147" t="s">
        <v>28</v>
      </c>
      <c r="S147" s="1">
        <v>45596</v>
      </c>
    </row>
    <row r="148" spans="1:19" x14ac:dyDescent="0.25">
      <c r="A148" s="5" t="s">
        <v>333</v>
      </c>
      <c r="B148" s="5" t="s">
        <v>334</v>
      </c>
      <c r="C148" s="5" t="s">
        <v>31</v>
      </c>
      <c r="D148" s="5">
        <v>45</v>
      </c>
      <c r="E148" s="5" t="s">
        <v>32</v>
      </c>
      <c r="F148" s="5" t="s">
        <v>42</v>
      </c>
      <c r="G148" s="5" t="s">
        <v>24</v>
      </c>
      <c r="H148" s="5">
        <v>770638</v>
      </c>
      <c r="I148">
        <v>709</v>
      </c>
      <c r="J148">
        <v>646211</v>
      </c>
      <c r="K148">
        <v>36</v>
      </c>
      <c r="L148">
        <v>11.19</v>
      </c>
      <c r="M148" t="s">
        <v>43</v>
      </c>
      <c r="N148" t="s">
        <v>26</v>
      </c>
      <c r="O148" t="s">
        <v>27</v>
      </c>
      <c r="P148">
        <v>19958.939999999999</v>
      </c>
      <c r="Q148">
        <v>165587.76999999999</v>
      </c>
      <c r="R148" t="s">
        <v>28</v>
      </c>
      <c r="S148" s="1">
        <v>45348</v>
      </c>
    </row>
    <row r="149" spans="1:19" x14ac:dyDescent="0.25">
      <c r="A149" s="5" t="s">
        <v>335</v>
      </c>
      <c r="B149" s="5" t="s">
        <v>336</v>
      </c>
      <c r="C149" s="5" t="s">
        <v>21</v>
      </c>
      <c r="D149" s="5">
        <v>59</v>
      </c>
      <c r="E149" s="5" t="s">
        <v>22</v>
      </c>
      <c r="F149" s="5" t="s">
        <v>42</v>
      </c>
      <c r="G149" s="5" t="s">
        <v>24</v>
      </c>
      <c r="H149" s="5">
        <v>1114660</v>
      </c>
      <c r="I149">
        <v>578</v>
      </c>
      <c r="J149">
        <v>1363681</v>
      </c>
      <c r="K149">
        <v>60</v>
      </c>
      <c r="L149">
        <v>8.76</v>
      </c>
      <c r="M149" t="s">
        <v>54</v>
      </c>
      <c r="N149" t="s">
        <v>104</v>
      </c>
      <c r="O149" t="s">
        <v>39</v>
      </c>
      <c r="P149">
        <v>24718.99</v>
      </c>
      <c r="Q149">
        <v>1113211.8</v>
      </c>
      <c r="R149" t="s">
        <v>28</v>
      </c>
      <c r="S149" s="1">
        <v>45295</v>
      </c>
    </row>
    <row r="150" spans="1:19" x14ac:dyDescent="0.25">
      <c r="A150" s="5" t="s">
        <v>337</v>
      </c>
      <c r="B150" s="5" t="s">
        <v>338</v>
      </c>
      <c r="C150" s="5" t="s">
        <v>31</v>
      </c>
      <c r="D150" s="5">
        <v>40</v>
      </c>
      <c r="E150" s="5" t="s">
        <v>32</v>
      </c>
      <c r="F150" s="5" t="s">
        <v>42</v>
      </c>
      <c r="G150" s="5" t="s">
        <v>33</v>
      </c>
      <c r="H150" s="5">
        <v>1702364</v>
      </c>
      <c r="I150">
        <v>805</v>
      </c>
      <c r="J150">
        <v>923686</v>
      </c>
      <c r="K150">
        <v>60</v>
      </c>
      <c r="L150">
        <v>11.03</v>
      </c>
      <c r="M150" t="s">
        <v>54</v>
      </c>
      <c r="N150" t="s">
        <v>38</v>
      </c>
      <c r="O150" t="s">
        <v>27</v>
      </c>
      <c r="P150">
        <v>17092.810000000001</v>
      </c>
      <c r="Q150">
        <v>541456.97</v>
      </c>
      <c r="R150" t="s">
        <v>28</v>
      </c>
      <c r="S150" s="1">
        <v>45374</v>
      </c>
    </row>
    <row r="151" spans="1:19" x14ac:dyDescent="0.25">
      <c r="A151" s="5" t="s">
        <v>339</v>
      </c>
      <c r="B151" s="5" t="s">
        <v>340</v>
      </c>
      <c r="C151" s="5" t="s">
        <v>31</v>
      </c>
      <c r="D151" s="5">
        <v>55</v>
      </c>
      <c r="E151" s="5" t="s">
        <v>22</v>
      </c>
      <c r="F151" s="5" t="s">
        <v>23</v>
      </c>
      <c r="G151" s="5" t="s">
        <v>33</v>
      </c>
      <c r="H151" s="5">
        <v>1533430</v>
      </c>
      <c r="I151">
        <v>669</v>
      </c>
      <c r="J151">
        <v>416331</v>
      </c>
      <c r="K151">
        <v>240</v>
      </c>
      <c r="L151">
        <v>11.82</v>
      </c>
      <c r="M151" t="s">
        <v>54</v>
      </c>
      <c r="N151" t="s">
        <v>44</v>
      </c>
      <c r="O151" t="s">
        <v>27</v>
      </c>
      <c r="P151">
        <v>1939.76</v>
      </c>
      <c r="Q151">
        <v>121820.6</v>
      </c>
      <c r="R151" t="s">
        <v>28</v>
      </c>
      <c r="S151" s="1">
        <v>45658</v>
      </c>
    </row>
    <row r="152" spans="1:19" x14ac:dyDescent="0.25">
      <c r="A152" s="5" t="s">
        <v>341</v>
      </c>
      <c r="B152" s="5" t="s">
        <v>342</v>
      </c>
      <c r="C152" s="5" t="s">
        <v>31</v>
      </c>
      <c r="D152" s="5">
        <v>39</v>
      </c>
      <c r="E152" s="5" t="s">
        <v>32</v>
      </c>
      <c r="F152" s="5" t="s">
        <v>23</v>
      </c>
      <c r="G152" s="5" t="s">
        <v>24</v>
      </c>
      <c r="H152" s="5">
        <v>584271</v>
      </c>
      <c r="I152">
        <v>573</v>
      </c>
      <c r="J152">
        <v>1417315</v>
      </c>
      <c r="K152">
        <v>84</v>
      </c>
      <c r="L152">
        <v>12.88</v>
      </c>
      <c r="M152" t="s">
        <v>57</v>
      </c>
      <c r="N152" t="s">
        <v>38</v>
      </c>
      <c r="O152" t="s">
        <v>27</v>
      </c>
      <c r="P152">
        <v>19046.009999999998</v>
      </c>
      <c r="Q152">
        <v>353760.03</v>
      </c>
      <c r="R152" t="s">
        <v>28</v>
      </c>
      <c r="S152" s="1">
        <v>45340</v>
      </c>
    </row>
    <row r="153" spans="1:19" x14ac:dyDescent="0.25">
      <c r="A153" s="5" t="s">
        <v>343</v>
      </c>
      <c r="B153" s="5" t="s">
        <v>344</v>
      </c>
      <c r="C153" s="5" t="s">
        <v>21</v>
      </c>
      <c r="D153" s="5">
        <v>38</v>
      </c>
      <c r="E153" s="5" t="s">
        <v>32</v>
      </c>
      <c r="F153" s="5" t="s">
        <v>23</v>
      </c>
      <c r="G153" s="5" t="s">
        <v>24</v>
      </c>
      <c r="H153" s="5">
        <v>685268</v>
      </c>
      <c r="I153">
        <v>847</v>
      </c>
      <c r="J153">
        <v>805337</v>
      </c>
      <c r="K153">
        <v>240</v>
      </c>
      <c r="L153">
        <v>11.21</v>
      </c>
      <c r="M153" t="s">
        <v>54</v>
      </c>
      <c r="N153" t="s">
        <v>34</v>
      </c>
      <c r="O153" t="s">
        <v>27</v>
      </c>
      <c r="P153">
        <v>3731.73</v>
      </c>
      <c r="Q153">
        <v>187709.35</v>
      </c>
      <c r="R153" t="s">
        <v>28</v>
      </c>
      <c r="S153" s="1">
        <v>45720</v>
      </c>
    </row>
    <row r="154" spans="1:19" x14ac:dyDescent="0.25">
      <c r="A154" s="5" t="s">
        <v>345</v>
      </c>
      <c r="B154" s="5" t="s">
        <v>346</v>
      </c>
      <c r="C154" s="5" t="s">
        <v>21</v>
      </c>
      <c r="D154" s="5">
        <v>48</v>
      </c>
      <c r="E154" s="5" t="s">
        <v>32</v>
      </c>
      <c r="F154" s="5" t="s">
        <v>23</v>
      </c>
      <c r="G154" s="5" t="s">
        <v>24</v>
      </c>
      <c r="H154" s="5">
        <v>1829616</v>
      </c>
      <c r="I154">
        <v>719</v>
      </c>
      <c r="J154">
        <v>654145</v>
      </c>
      <c r="K154">
        <v>36</v>
      </c>
      <c r="L154">
        <v>7.75</v>
      </c>
      <c r="M154" t="s">
        <v>57</v>
      </c>
      <c r="N154" t="s">
        <v>51</v>
      </c>
      <c r="O154" t="s">
        <v>27</v>
      </c>
      <c r="P154">
        <v>19578.919999999998</v>
      </c>
      <c r="Q154">
        <v>247389.98</v>
      </c>
      <c r="R154" t="s">
        <v>28</v>
      </c>
      <c r="S154" s="1">
        <v>45678</v>
      </c>
    </row>
    <row r="155" spans="1:19" x14ac:dyDescent="0.25">
      <c r="A155" s="5" t="s">
        <v>347</v>
      </c>
      <c r="B155" s="5" t="s">
        <v>348</v>
      </c>
      <c r="C155" s="5" t="s">
        <v>21</v>
      </c>
      <c r="D155" s="5">
        <v>47</v>
      </c>
      <c r="E155" s="5" t="s">
        <v>32</v>
      </c>
      <c r="F155" s="5" t="s">
        <v>42</v>
      </c>
      <c r="G155" s="5" t="s">
        <v>24</v>
      </c>
      <c r="H155" s="5">
        <v>1811654</v>
      </c>
      <c r="I155">
        <v>605</v>
      </c>
      <c r="J155">
        <v>1531230</v>
      </c>
      <c r="K155">
        <v>24</v>
      </c>
      <c r="L155">
        <v>13.01</v>
      </c>
      <c r="M155" t="s">
        <v>5</v>
      </c>
      <c r="N155" t="s">
        <v>104</v>
      </c>
      <c r="O155" t="s">
        <v>39</v>
      </c>
      <c r="P155">
        <v>72101.789999999994</v>
      </c>
      <c r="Q155">
        <v>255508.52</v>
      </c>
      <c r="R155" t="s">
        <v>28</v>
      </c>
      <c r="S155" s="1">
        <v>45669</v>
      </c>
    </row>
    <row r="156" spans="1:19" x14ac:dyDescent="0.25">
      <c r="A156" s="5" t="s">
        <v>349</v>
      </c>
      <c r="B156" s="5" t="s">
        <v>350</v>
      </c>
      <c r="C156" s="5" t="s">
        <v>21</v>
      </c>
      <c r="D156" s="5">
        <v>47</v>
      </c>
      <c r="E156" s="5" t="s">
        <v>22</v>
      </c>
      <c r="F156" s="5" t="s">
        <v>23</v>
      </c>
      <c r="G156" s="5" t="s">
        <v>24</v>
      </c>
      <c r="H156" s="5">
        <v>881178</v>
      </c>
      <c r="I156">
        <v>584</v>
      </c>
      <c r="J156">
        <v>1830151</v>
      </c>
      <c r="K156">
        <v>24</v>
      </c>
      <c r="L156">
        <v>9.35</v>
      </c>
      <c r="M156" t="s">
        <v>57</v>
      </c>
      <c r="N156" t="s">
        <v>26</v>
      </c>
      <c r="O156" t="s">
        <v>39</v>
      </c>
      <c r="P156">
        <v>83386.25</v>
      </c>
      <c r="Q156">
        <v>1254088.31</v>
      </c>
      <c r="R156" t="s">
        <v>28</v>
      </c>
      <c r="S156" s="1">
        <v>45888</v>
      </c>
    </row>
    <row r="157" spans="1:19" x14ac:dyDescent="0.25">
      <c r="A157" s="5" t="s">
        <v>351</v>
      </c>
      <c r="B157" s="5" t="s">
        <v>352</v>
      </c>
      <c r="C157" s="5" t="s">
        <v>21</v>
      </c>
      <c r="D157" s="5">
        <v>55</v>
      </c>
      <c r="E157" s="5" t="s">
        <v>22</v>
      </c>
      <c r="F157" s="5" t="s">
        <v>42</v>
      </c>
      <c r="G157" s="5" t="s">
        <v>24</v>
      </c>
      <c r="H157" s="5">
        <v>325370</v>
      </c>
      <c r="I157">
        <v>824</v>
      </c>
      <c r="J157">
        <v>379045</v>
      </c>
      <c r="K157">
        <v>36</v>
      </c>
      <c r="L157">
        <v>13.92</v>
      </c>
      <c r="M157" t="s">
        <v>57</v>
      </c>
      <c r="N157" t="s">
        <v>44</v>
      </c>
      <c r="O157" t="s">
        <v>39</v>
      </c>
      <c r="P157">
        <v>11994.67</v>
      </c>
      <c r="Q157">
        <v>378240.56</v>
      </c>
      <c r="R157" t="s">
        <v>28</v>
      </c>
      <c r="S157" s="1">
        <v>45536</v>
      </c>
    </row>
    <row r="158" spans="1:19" x14ac:dyDescent="0.25">
      <c r="A158" s="5" t="s">
        <v>353</v>
      </c>
      <c r="B158" s="5" t="s">
        <v>354</v>
      </c>
      <c r="C158" s="5" t="s">
        <v>21</v>
      </c>
      <c r="D158" s="5">
        <v>47</v>
      </c>
      <c r="E158" s="5" t="s">
        <v>22</v>
      </c>
      <c r="F158" s="5" t="s">
        <v>42</v>
      </c>
      <c r="G158" s="5" t="s">
        <v>33</v>
      </c>
      <c r="H158" s="5">
        <v>1701498</v>
      </c>
      <c r="I158">
        <v>745</v>
      </c>
      <c r="J158">
        <v>694730</v>
      </c>
      <c r="K158">
        <v>24</v>
      </c>
      <c r="L158">
        <v>11.55</v>
      </c>
      <c r="M158" t="s">
        <v>57</v>
      </c>
      <c r="N158" t="s">
        <v>51</v>
      </c>
      <c r="O158" t="s">
        <v>27</v>
      </c>
      <c r="P158">
        <v>32290.47</v>
      </c>
      <c r="Q158">
        <v>637045.12</v>
      </c>
      <c r="R158" t="s">
        <v>28</v>
      </c>
      <c r="S158" s="1">
        <v>45746</v>
      </c>
    </row>
    <row r="159" spans="1:19" x14ac:dyDescent="0.25">
      <c r="A159" s="5" t="s">
        <v>355</v>
      </c>
      <c r="B159" s="5" t="s">
        <v>356</v>
      </c>
      <c r="C159" s="5" t="s">
        <v>21</v>
      </c>
      <c r="D159" s="5">
        <v>39</v>
      </c>
      <c r="E159" s="5" t="s">
        <v>22</v>
      </c>
      <c r="F159" s="5" t="s">
        <v>23</v>
      </c>
      <c r="G159" s="5" t="s">
        <v>33</v>
      </c>
      <c r="H159" s="5">
        <v>1706335</v>
      </c>
      <c r="I159">
        <v>599</v>
      </c>
      <c r="J159">
        <v>957014</v>
      </c>
      <c r="K159">
        <v>240</v>
      </c>
      <c r="L159">
        <v>13.76</v>
      </c>
      <c r="M159" t="s">
        <v>54</v>
      </c>
      <c r="N159" t="s">
        <v>38</v>
      </c>
      <c r="O159" t="s">
        <v>27</v>
      </c>
      <c r="P159">
        <v>4536.25</v>
      </c>
      <c r="Q159">
        <v>835376.42</v>
      </c>
      <c r="R159" t="s">
        <v>28</v>
      </c>
      <c r="S159" s="1">
        <v>45508</v>
      </c>
    </row>
    <row r="160" spans="1:19" x14ac:dyDescent="0.25">
      <c r="A160" s="5" t="s">
        <v>357</v>
      </c>
      <c r="B160" s="5" t="s">
        <v>358</v>
      </c>
      <c r="C160" s="5" t="s">
        <v>31</v>
      </c>
      <c r="D160" s="5">
        <v>23</v>
      </c>
      <c r="E160" s="5" t="s">
        <v>22</v>
      </c>
      <c r="F160" s="5" t="s">
        <v>23</v>
      </c>
      <c r="G160" s="5" t="s">
        <v>24</v>
      </c>
      <c r="H160" s="5">
        <v>879230</v>
      </c>
      <c r="I160">
        <v>786</v>
      </c>
      <c r="J160">
        <v>1711257</v>
      </c>
      <c r="K160">
        <v>36</v>
      </c>
      <c r="L160">
        <v>14.78</v>
      </c>
      <c r="M160" t="s">
        <v>43</v>
      </c>
      <c r="N160" t="s">
        <v>26</v>
      </c>
      <c r="O160" t="s">
        <v>27</v>
      </c>
      <c r="P160">
        <v>54560.58</v>
      </c>
      <c r="Q160">
        <v>614517.41</v>
      </c>
      <c r="R160" t="s">
        <v>28</v>
      </c>
      <c r="S160" s="1">
        <v>45313</v>
      </c>
    </row>
    <row r="161" spans="1:19" x14ac:dyDescent="0.25">
      <c r="A161" s="5" t="s">
        <v>359</v>
      </c>
      <c r="B161" s="5" t="s">
        <v>360</v>
      </c>
      <c r="C161" s="5" t="s">
        <v>21</v>
      </c>
      <c r="D161" s="5">
        <v>31</v>
      </c>
      <c r="E161" s="5" t="s">
        <v>22</v>
      </c>
      <c r="F161" s="5" t="s">
        <v>23</v>
      </c>
      <c r="G161" s="5" t="s">
        <v>24</v>
      </c>
      <c r="H161" s="5">
        <v>1355806</v>
      </c>
      <c r="I161">
        <v>837</v>
      </c>
      <c r="J161">
        <v>566980</v>
      </c>
      <c r="K161">
        <v>24</v>
      </c>
      <c r="L161">
        <v>12.59</v>
      </c>
      <c r="M161" t="s">
        <v>54</v>
      </c>
      <c r="N161" t="s">
        <v>34</v>
      </c>
      <c r="O161" t="s">
        <v>27</v>
      </c>
      <c r="P161">
        <v>26598.45</v>
      </c>
      <c r="Q161">
        <v>225263.28</v>
      </c>
      <c r="R161" t="s">
        <v>28</v>
      </c>
      <c r="S161" s="1">
        <v>45436</v>
      </c>
    </row>
    <row r="162" spans="1:19" x14ac:dyDescent="0.25">
      <c r="A162" s="5" t="s">
        <v>361</v>
      </c>
      <c r="B162" s="5" t="s">
        <v>362</v>
      </c>
      <c r="C162" s="5" t="s">
        <v>31</v>
      </c>
      <c r="D162" s="5">
        <v>52</v>
      </c>
      <c r="E162" s="5" t="s">
        <v>32</v>
      </c>
      <c r="F162" s="5" t="s">
        <v>23</v>
      </c>
      <c r="G162" s="5" t="s">
        <v>24</v>
      </c>
      <c r="H162" s="5">
        <v>1366924</v>
      </c>
      <c r="I162">
        <v>741</v>
      </c>
      <c r="J162">
        <v>574729</v>
      </c>
      <c r="K162">
        <v>84</v>
      </c>
      <c r="L162">
        <v>10.7</v>
      </c>
      <c r="M162" t="s">
        <v>43</v>
      </c>
      <c r="N162" t="s">
        <v>34</v>
      </c>
      <c r="O162" t="s">
        <v>27</v>
      </c>
      <c r="P162">
        <v>7574.11</v>
      </c>
      <c r="Q162">
        <v>193220.04</v>
      </c>
      <c r="R162" t="s">
        <v>28</v>
      </c>
      <c r="S162" s="1">
        <v>45693</v>
      </c>
    </row>
    <row r="163" spans="1:19" x14ac:dyDescent="0.25">
      <c r="A163" s="5" t="s">
        <v>363</v>
      </c>
      <c r="B163" s="5" t="s">
        <v>364</v>
      </c>
      <c r="C163" s="5" t="s">
        <v>31</v>
      </c>
      <c r="D163" s="5">
        <v>42</v>
      </c>
      <c r="E163" s="5" t="s">
        <v>32</v>
      </c>
      <c r="F163" s="5" t="s">
        <v>42</v>
      </c>
      <c r="G163" s="5" t="s">
        <v>33</v>
      </c>
      <c r="H163" s="5">
        <v>748437</v>
      </c>
      <c r="I163">
        <v>664</v>
      </c>
      <c r="J163">
        <v>848773</v>
      </c>
      <c r="K163">
        <v>36</v>
      </c>
      <c r="L163">
        <v>14.31</v>
      </c>
      <c r="M163" t="s">
        <v>57</v>
      </c>
      <c r="N163" t="s">
        <v>44</v>
      </c>
      <c r="O163" t="s">
        <v>27</v>
      </c>
      <c r="P163">
        <v>26950.9</v>
      </c>
      <c r="Q163">
        <v>194556.82</v>
      </c>
      <c r="R163" t="s">
        <v>28</v>
      </c>
      <c r="S163" s="1">
        <v>45873</v>
      </c>
    </row>
    <row r="164" spans="1:19" x14ac:dyDescent="0.25">
      <c r="A164" s="5" t="s">
        <v>365</v>
      </c>
      <c r="B164" s="5" t="s">
        <v>366</v>
      </c>
      <c r="C164" s="5" t="s">
        <v>31</v>
      </c>
      <c r="D164" s="5">
        <v>44</v>
      </c>
      <c r="E164" s="5" t="s">
        <v>22</v>
      </c>
      <c r="F164" s="5" t="s">
        <v>23</v>
      </c>
      <c r="G164" s="5" t="s">
        <v>24</v>
      </c>
      <c r="H164" s="5">
        <v>1513150</v>
      </c>
      <c r="I164">
        <v>742</v>
      </c>
      <c r="J164">
        <v>667015</v>
      </c>
      <c r="K164">
        <v>24</v>
      </c>
      <c r="L164">
        <v>10.09</v>
      </c>
      <c r="M164" t="s">
        <v>5</v>
      </c>
      <c r="N164" t="s">
        <v>51</v>
      </c>
      <c r="O164" t="s">
        <v>27</v>
      </c>
      <c r="P164">
        <v>30596.53</v>
      </c>
      <c r="Q164">
        <v>360143.9</v>
      </c>
      <c r="R164" t="s">
        <v>28</v>
      </c>
      <c r="S164" s="1">
        <v>45888</v>
      </c>
    </row>
    <row r="165" spans="1:19" x14ac:dyDescent="0.25">
      <c r="A165" s="5" t="s">
        <v>367</v>
      </c>
      <c r="B165" s="5" t="s">
        <v>368</v>
      </c>
      <c r="C165" s="5" t="s">
        <v>21</v>
      </c>
      <c r="D165" s="5">
        <v>49</v>
      </c>
      <c r="E165" s="5" t="s">
        <v>32</v>
      </c>
      <c r="F165" s="5" t="s">
        <v>23</v>
      </c>
      <c r="G165" s="5" t="s">
        <v>24</v>
      </c>
      <c r="H165" s="5">
        <v>1554941</v>
      </c>
      <c r="I165">
        <v>571</v>
      </c>
      <c r="J165">
        <v>977720</v>
      </c>
      <c r="K165">
        <v>240</v>
      </c>
      <c r="L165">
        <v>12.21</v>
      </c>
      <c r="M165" t="s">
        <v>25</v>
      </c>
      <c r="N165" t="s">
        <v>51</v>
      </c>
      <c r="O165" t="s">
        <v>27</v>
      </c>
      <c r="P165">
        <v>4571.25</v>
      </c>
      <c r="Q165">
        <v>158527.17000000001</v>
      </c>
      <c r="R165" t="s">
        <v>35</v>
      </c>
      <c r="S165" s="1">
        <v>45630</v>
      </c>
    </row>
    <row r="166" spans="1:19" x14ac:dyDescent="0.25">
      <c r="A166" s="5" t="s">
        <v>369</v>
      </c>
      <c r="B166" s="5" t="s">
        <v>370</v>
      </c>
      <c r="C166" s="5" t="s">
        <v>21</v>
      </c>
      <c r="D166" s="5">
        <v>55</v>
      </c>
      <c r="E166" s="5" t="s">
        <v>22</v>
      </c>
      <c r="F166" s="5" t="s">
        <v>23</v>
      </c>
      <c r="G166" s="5" t="s">
        <v>33</v>
      </c>
      <c r="H166" s="5">
        <v>550938</v>
      </c>
      <c r="I166">
        <v>844</v>
      </c>
      <c r="J166">
        <v>1881741</v>
      </c>
      <c r="K166">
        <v>24</v>
      </c>
      <c r="L166">
        <v>8.59</v>
      </c>
      <c r="M166" t="s">
        <v>57</v>
      </c>
      <c r="N166" t="s">
        <v>51</v>
      </c>
      <c r="O166" t="s">
        <v>27</v>
      </c>
      <c r="P166">
        <v>85140.94</v>
      </c>
      <c r="Q166">
        <v>809923.08</v>
      </c>
      <c r="R166" t="s">
        <v>28</v>
      </c>
      <c r="S166" s="1">
        <v>45602</v>
      </c>
    </row>
    <row r="167" spans="1:19" x14ac:dyDescent="0.25">
      <c r="A167" s="5" t="s">
        <v>371</v>
      </c>
      <c r="B167" s="5" t="s">
        <v>372</v>
      </c>
      <c r="C167" s="5" t="s">
        <v>31</v>
      </c>
      <c r="D167" s="5">
        <v>49</v>
      </c>
      <c r="E167" s="5" t="s">
        <v>32</v>
      </c>
      <c r="F167" s="5" t="s">
        <v>23</v>
      </c>
      <c r="G167" s="5" t="s">
        <v>24</v>
      </c>
      <c r="H167" s="5">
        <v>501820</v>
      </c>
      <c r="I167">
        <v>560</v>
      </c>
      <c r="J167">
        <v>1062728</v>
      </c>
      <c r="K167">
        <v>48</v>
      </c>
      <c r="L167">
        <v>14.1</v>
      </c>
      <c r="M167" t="s">
        <v>54</v>
      </c>
      <c r="N167" t="s">
        <v>26</v>
      </c>
      <c r="O167" t="s">
        <v>27</v>
      </c>
      <c r="P167">
        <v>25261.93</v>
      </c>
      <c r="Q167">
        <v>737979.87</v>
      </c>
      <c r="R167" t="s">
        <v>35</v>
      </c>
      <c r="S167" s="1">
        <v>45567</v>
      </c>
    </row>
    <row r="168" spans="1:19" x14ac:dyDescent="0.25">
      <c r="A168" s="5" t="s">
        <v>373</v>
      </c>
      <c r="B168" s="5" t="s">
        <v>374</v>
      </c>
      <c r="C168" s="5" t="s">
        <v>21</v>
      </c>
      <c r="D168" s="5">
        <v>24</v>
      </c>
      <c r="E168" s="5" t="s">
        <v>22</v>
      </c>
      <c r="F168" s="5" t="s">
        <v>42</v>
      </c>
      <c r="G168" s="5" t="s">
        <v>24</v>
      </c>
      <c r="H168" s="5">
        <v>1698063</v>
      </c>
      <c r="I168">
        <v>790</v>
      </c>
      <c r="J168">
        <v>721883</v>
      </c>
      <c r="K168">
        <v>48</v>
      </c>
      <c r="L168">
        <v>15.41</v>
      </c>
      <c r="M168" t="s">
        <v>43</v>
      </c>
      <c r="N168" t="s">
        <v>104</v>
      </c>
      <c r="O168" t="s">
        <v>27</v>
      </c>
      <c r="P168">
        <v>17356.77</v>
      </c>
      <c r="Q168">
        <v>718868.38</v>
      </c>
      <c r="R168" t="s">
        <v>28</v>
      </c>
      <c r="S168" s="1">
        <v>45835</v>
      </c>
    </row>
    <row r="169" spans="1:19" x14ac:dyDescent="0.25">
      <c r="A169" s="5" t="s">
        <v>375</v>
      </c>
      <c r="B169" s="5" t="s">
        <v>376</v>
      </c>
      <c r="C169" s="5" t="s">
        <v>21</v>
      </c>
      <c r="D169" s="5">
        <v>29</v>
      </c>
      <c r="E169" s="5" t="s">
        <v>22</v>
      </c>
      <c r="F169" s="5" t="s">
        <v>42</v>
      </c>
      <c r="G169" s="5" t="s">
        <v>33</v>
      </c>
      <c r="H169" s="5">
        <v>1870318</v>
      </c>
      <c r="I169">
        <v>784</v>
      </c>
      <c r="J169">
        <v>1664842</v>
      </c>
      <c r="K169">
        <v>240</v>
      </c>
      <c r="L169">
        <v>14.2</v>
      </c>
      <c r="M169" t="s">
        <v>43</v>
      </c>
      <c r="N169" t="s">
        <v>44</v>
      </c>
      <c r="O169" t="s">
        <v>27</v>
      </c>
      <c r="P169">
        <v>7921.87</v>
      </c>
      <c r="Q169">
        <v>177840.99</v>
      </c>
      <c r="R169" t="s">
        <v>28</v>
      </c>
      <c r="S169" s="1">
        <v>45999</v>
      </c>
    </row>
    <row r="170" spans="1:19" x14ac:dyDescent="0.25">
      <c r="A170" s="5" t="s">
        <v>377</v>
      </c>
      <c r="B170" s="5" t="s">
        <v>378</v>
      </c>
      <c r="C170" s="5" t="s">
        <v>31</v>
      </c>
      <c r="D170" s="5">
        <v>30</v>
      </c>
      <c r="E170" s="5" t="s">
        <v>22</v>
      </c>
      <c r="F170" s="5" t="s">
        <v>42</v>
      </c>
      <c r="G170" s="5" t="s">
        <v>24</v>
      </c>
      <c r="H170" s="5">
        <v>839720</v>
      </c>
      <c r="I170">
        <v>794</v>
      </c>
      <c r="J170">
        <v>1282607</v>
      </c>
      <c r="K170">
        <v>36</v>
      </c>
      <c r="L170">
        <v>14.93</v>
      </c>
      <c r="M170" t="s">
        <v>43</v>
      </c>
      <c r="N170" t="s">
        <v>51</v>
      </c>
      <c r="O170" t="s">
        <v>27</v>
      </c>
      <c r="P170">
        <v>40947.230000000003</v>
      </c>
      <c r="Q170">
        <v>882213.08</v>
      </c>
      <c r="R170" t="s">
        <v>28</v>
      </c>
      <c r="S170" s="1">
        <v>45311</v>
      </c>
    </row>
    <row r="171" spans="1:19" x14ac:dyDescent="0.25">
      <c r="A171" s="5" t="s">
        <v>379</v>
      </c>
      <c r="B171" s="5" t="s">
        <v>380</v>
      </c>
      <c r="C171" s="5" t="s">
        <v>31</v>
      </c>
      <c r="D171" s="5">
        <v>57</v>
      </c>
      <c r="E171" s="5" t="s">
        <v>32</v>
      </c>
      <c r="F171" s="5" t="s">
        <v>42</v>
      </c>
      <c r="G171" s="5" t="s">
        <v>24</v>
      </c>
      <c r="H171" s="5">
        <v>871546</v>
      </c>
      <c r="I171">
        <v>811</v>
      </c>
      <c r="J171">
        <v>1178080</v>
      </c>
      <c r="K171">
        <v>240</v>
      </c>
      <c r="L171">
        <v>7.8</v>
      </c>
      <c r="M171" t="s">
        <v>5</v>
      </c>
      <c r="N171" t="s">
        <v>34</v>
      </c>
      <c r="O171" t="s">
        <v>27</v>
      </c>
      <c r="P171">
        <v>5291.54</v>
      </c>
      <c r="Q171">
        <v>730426.31</v>
      </c>
      <c r="R171" t="s">
        <v>28</v>
      </c>
      <c r="S171" s="1">
        <v>45763</v>
      </c>
    </row>
    <row r="172" spans="1:19" x14ac:dyDescent="0.25">
      <c r="A172" s="5" t="s">
        <v>381</v>
      </c>
      <c r="B172" s="5" t="s">
        <v>382</v>
      </c>
      <c r="C172" s="5" t="s">
        <v>31</v>
      </c>
      <c r="D172" s="5">
        <v>37</v>
      </c>
      <c r="E172" s="5" t="s">
        <v>32</v>
      </c>
      <c r="F172" s="5" t="s">
        <v>23</v>
      </c>
      <c r="G172" s="5" t="s">
        <v>33</v>
      </c>
      <c r="H172" s="5">
        <v>490144</v>
      </c>
      <c r="I172">
        <v>817</v>
      </c>
      <c r="J172">
        <v>1423691</v>
      </c>
      <c r="K172">
        <v>24</v>
      </c>
      <c r="L172">
        <v>8.0399999999999991</v>
      </c>
      <c r="M172" t="s">
        <v>57</v>
      </c>
      <c r="N172" t="s">
        <v>26</v>
      </c>
      <c r="O172" t="s">
        <v>27</v>
      </c>
      <c r="P172">
        <v>64089.82</v>
      </c>
      <c r="Q172">
        <v>1390017.34</v>
      </c>
      <c r="R172" t="s">
        <v>28</v>
      </c>
      <c r="S172" s="1">
        <v>45568</v>
      </c>
    </row>
    <row r="173" spans="1:19" x14ac:dyDescent="0.25">
      <c r="A173" s="5" t="s">
        <v>383</v>
      </c>
      <c r="B173" s="5" t="s">
        <v>384</v>
      </c>
      <c r="C173" s="5" t="s">
        <v>31</v>
      </c>
      <c r="D173" s="5">
        <v>37</v>
      </c>
      <c r="E173" s="5" t="s">
        <v>22</v>
      </c>
      <c r="F173" s="5" t="s">
        <v>42</v>
      </c>
      <c r="G173" s="5" t="s">
        <v>33</v>
      </c>
      <c r="H173" s="5">
        <v>339476</v>
      </c>
      <c r="I173">
        <v>609</v>
      </c>
      <c r="J173">
        <v>646278</v>
      </c>
      <c r="K173">
        <v>240</v>
      </c>
      <c r="L173">
        <v>11.05</v>
      </c>
      <c r="M173" t="s">
        <v>43</v>
      </c>
      <c r="N173" t="s">
        <v>44</v>
      </c>
      <c r="O173" t="s">
        <v>27</v>
      </c>
      <c r="P173">
        <v>2990.38</v>
      </c>
      <c r="Q173">
        <v>380195.28</v>
      </c>
      <c r="R173" t="s">
        <v>28</v>
      </c>
      <c r="S173" s="1">
        <v>45471</v>
      </c>
    </row>
    <row r="174" spans="1:19" x14ac:dyDescent="0.25">
      <c r="A174" s="5" t="s">
        <v>385</v>
      </c>
      <c r="B174" s="5" t="s">
        <v>386</v>
      </c>
      <c r="C174" s="5" t="s">
        <v>21</v>
      </c>
      <c r="D174" s="5">
        <v>48</v>
      </c>
      <c r="E174" s="5" t="s">
        <v>32</v>
      </c>
      <c r="F174" s="5" t="s">
        <v>23</v>
      </c>
      <c r="G174" s="5" t="s">
        <v>24</v>
      </c>
      <c r="H174" s="5">
        <v>1596867</v>
      </c>
      <c r="I174">
        <v>715</v>
      </c>
      <c r="J174">
        <v>383881</v>
      </c>
      <c r="K174">
        <v>120</v>
      </c>
      <c r="L174">
        <v>10.02</v>
      </c>
      <c r="M174" t="s">
        <v>25</v>
      </c>
      <c r="N174" t="s">
        <v>51</v>
      </c>
      <c r="O174" t="s">
        <v>27</v>
      </c>
      <c r="P174">
        <v>3519.55</v>
      </c>
      <c r="Q174">
        <v>131987.95000000001</v>
      </c>
      <c r="R174" t="s">
        <v>28</v>
      </c>
      <c r="S174" s="1">
        <v>45880</v>
      </c>
    </row>
    <row r="175" spans="1:19" x14ac:dyDescent="0.25">
      <c r="A175" s="5" t="s">
        <v>387</v>
      </c>
      <c r="B175" s="5" t="s">
        <v>388</v>
      </c>
      <c r="C175" s="5" t="s">
        <v>21</v>
      </c>
      <c r="D175" s="5">
        <v>55</v>
      </c>
      <c r="E175" s="5" t="s">
        <v>32</v>
      </c>
      <c r="F175" s="5" t="s">
        <v>42</v>
      </c>
      <c r="G175" s="5" t="s">
        <v>33</v>
      </c>
      <c r="H175" s="5">
        <v>263185</v>
      </c>
      <c r="I175">
        <v>619</v>
      </c>
      <c r="J175">
        <v>121030</v>
      </c>
      <c r="K175">
        <v>60</v>
      </c>
      <c r="L175">
        <v>8.9600000000000009</v>
      </c>
      <c r="M175" t="s">
        <v>5</v>
      </c>
      <c r="N175" t="s">
        <v>104</v>
      </c>
      <c r="O175" t="s">
        <v>27</v>
      </c>
      <c r="P175">
        <v>2197.9</v>
      </c>
      <c r="Q175">
        <v>48496.73</v>
      </c>
      <c r="R175" t="s">
        <v>35</v>
      </c>
      <c r="S175" s="1">
        <v>45564</v>
      </c>
    </row>
    <row r="176" spans="1:19" x14ac:dyDescent="0.25">
      <c r="A176" s="5" t="s">
        <v>389</v>
      </c>
      <c r="B176" s="5" t="s">
        <v>390</v>
      </c>
      <c r="C176" s="5" t="s">
        <v>21</v>
      </c>
      <c r="D176" s="5">
        <v>25</v>
      </c>
      <c r="E176" s="5" t="s">
        <v>22</v>
      </c>
      <c r="F176" s="5" t="s">
        <v>23</v>
      </c>
      <c r="G176" s="5" t="s">
        <v>24</v>
      </c>
      <c r="H176" s="5">
        <v>1433817</v>
      </c>
      <c r="I176">
        <v>728</v>
      </c>
      <c r="J176">
        <v>1319454</v>
      </c>
      <c r="K176">
        <v>48</v>
      </c>
      <c r="L176">
        <v>13.06</v>
      </c>
      <c r="M176" t="s">
        <v>25</v>
      </c>
      <c r="N176" t="s">
        <v>104</v>
      </c>
      <c r="O176" t="s">
        <v>27</v>
      </c>
      <c r="P176">
        <v>31078.639999999999</v>
      </c>
      <c r="Q176">
        <v>1205441.3600000001</v>
      </c>
      <c r="R176" t="s">
        <v>28</v>
      </c>
      <c r="S176" s="1">
        <v>45754</v>
      </c>
    </row>
    <row r="177" spans="1:19" x14ac:dyDescent="0.25">
      <c r="A177" s="5" t="s">
        <v>391</v>
      </c>
      <c r="B177" s="5" t="s">
        <v>392</v>
      </c>
      <c r="C177" s="5" t="s">
        <v>21</v>
      </c>
      <c r="D177" s="5">
        <v>29</v>
      </c>
      <c r="E177" s="5" t="s">
        <v>32</v>
      </c>
      <c r="F177" s="5" t="s">
        <v>23</v>
      </c>
      <c r="G177" s="5" t="s">
        <v>24</v>
      </c>
      <c r="H177" s="5">
        <v>1548382</v>
      </c>
      <c r="I177">
        <v>785</v>
      </c>
      <c r="J177">
        <v>103146</v>
      </c>
      <c r="K177">
        <v>48</v>
      </c>
      <c r="L177">
        <v>15.36</v>
      </c>
      <c r="M177" t="s">
        <v>54</v>
      </c>
      <c r="N177" t="s">
        <v>51</v>
      </c>
      <c r="O177" t="s">
        <v>27</v>
      </c>
      <c r="P177">
        <v>2478.94</v>
      </c>
      <c r="Q177">
        <v>29102.71</v>
      </c>
      <c r="R177" t="s">
        <v>28</v>
      </c>
      <c r="S177" s="1">
        <v>45782</v>
      </c>
    </row>
    <row r="178" spans="1:19" x14ac:dyDescent="0.25">
      <c r="A178" s="5" t="s">
        <v>393</v>
      </c>
      <c r="B178" s="5" t="s">
        <v>394</v>
      </c>
      <c r="C178" s="5" t="s">
        <v>31</v>
      </c>
      <c r="D178" s="5">
        <v>38</v>
      </c>
      <c r="E178" s="5" t="s">
        <v>22</v>
      </c>
      <c r="F178" s="5" t="s">
        <v>23</v>
      </c>
      <c r="G178" s="5" t="s">
        <v>33</v>
      </c>
      <c r="H178" s="5">
        <v>811991</v>
      </c>
      <c r="I178">
        <v>808</v>
      </c>
      <c r="J178">
        <v>1320232</v>
      </c>
      <c r="K178">
        <v>84</v>
      </c>
      <c r="L178">
        <v>14.35</v>
      </c>
      <c r="M178" t="s">
        <v>54</v>
      </c>
      <c r="N178" t="s">
        <v>51</v>
      </c>
      <c r="O178" t="s">
        <v>27</v>
      </c>
      <c r="P178">
        <v>17972.439999999999</v>
      </c>
      <c r="Q178">
        <v>424181.36</v>
      </c>
      <c r="R178" t="s">
        <v>28</v>
      </c>
      <c r="S178" s="1">
        <v>45459</v>
      </c>
    </row>
    <row r="179" spans="1:19" x14ac:dyDescent="0.25">
      <c r="A179" s="5" t="s">
        <v>395</v>
      </c>
      <c r="B179" s="5" t="s">
        <v>396</v>
      </c>
      <c r="C179" s="5" t="s">
        <v>21</v>
      </c>
      <c r="D179" s="5">
        <v>32</v>
      </c>
      <c r="E179" s="5" t="s">
        <v>22</v>
      </c>
      <c r="F179" s="5" t="s">
        <v>42</v>
      </c>
      <c r="G179" s="5" t="s">
        <v>24</v>
      </c>
      <c r="H179" s="5">
        <v>954381</v>
      </c>
      <c r="I179">
        <v>603</v>
      </c>
      <c r="J179">
        <v>849995</v>
      </c>
      <c r="K179">
        <v>84</v>
      </c>
      <c r="L179">
        <v>7.82</v>
      </c>
      <c r="M179" t="s">
        <v>54</v>
      </c>
      <c r="N179" t="s">
        <v>44</v>
      </c>
      <c r="O179" t="s">
        <v>27</v>
      </c>
      <c r="P179">
        <v>10910.29</v>
      </c>
      <c r="Q179">
        <v>511740.62</v>
      </c>
      <c r="R179" t="s">
        <v>35</v>
      </c>
      <c r="S179" s="1">
        <v>45881</v>
      </c>
    </row>
    <row r="180" spans="1:19" x14ac:dyDescent="0.25">
      <c r="A180" s="5" t="s">
        <v>397</v>
      </c>
      <c r="B180" s="5" t="s">
        <v>398</v>
      </c>
      <c r="C180" s="5" t="s">
        <v>31</v>
      </c>
      <c r="D180" s="5">
        <v>27</v>
      </c>
      <c r="E180" s="5" t="s">
        <v>32</v>
      </c>
      <c r="F180" s="5" t="s">
        <v>23</v>
      </c>
      <c r="G180" s="5" t="s">
        <v>24</v>
      </c>
      <c r="H180" s="5">
        <v>517887</v>
      </c>
      <c r="I180">
        <v>821</v>
      </c>
      <c r="J180">
        <v>1092194</v>
      </c>
      <c r="K180">
        <v>24</v>
      </c>
      <c r="L180">
        <v>9.02</v>
      </c>
      <c r="M180" t="s">
        <v>5</v>
      </c>
      <c r="N180" t="s">
        <v>38</v>
      </c>
      <c r="O180" t="s">
        <v>27</v>
      </c>
      <c r="P180">
        <v>49612.91</v>
      </c>
      <c r="Q180">
        <v>615212.76</v>
      </c>
      <c r="R180" t="s">
        <v>28</v>
      </c>
      <c r="S180" s="1">
        <v>45384</v>
      </c>
    </row>
    <row r="181" spans="1:19" x14ac:dyDescent="0.25">
      <c r="A181" s="5" t="s">
        <v>399</v>
      </c>
      <c r="B181" s="5" t="s">
        <v>400</v>
      </c>
      <c r="C181" s="5" t="s">
        <v>31</v>
      </c>
      <c r="D181" s="5">
        <v>22</v>
      </c>
      <c r="E181" s="5" t="s">
        <v>22</v>
      </c>
      <c r="F181" s="5" t="s">
        <v>42</v>
      </c>
      <c r="G181" s="5" t="s">
        <v>24</v>
      </c>
      <c r="H181" s="5">
        <v>1959928</v>
      </c>
      <c r="I181">
        <v>672</v>
      </c>
      <c r="J181">
        <v>1445572</v>
      </c>
      <c r="K181">
        <v>36</v>
      </c>
      <c r="L181">
        <v>9.25</v>
      </c>
      <c r="M181" t="s">
        <v>54</v>
      </c>
      <c r="N181" t="s">
        <v>26</v>
      </c>
      <c r="O181" t="s">
        <v>27</v>
      </c>
      <c r="P181">
        <v>43869.09</v>
      </c>
      <c r="Q181">
        <v>1019262.74</v>
      </c>
      <c r="R181" t="s">
        <v>28</v>
      </c>
      <c r="S181" s="1">
        <v>45490</v>
      </c>
    </row>
    <row r="182" spans="1:19" x14ac:dyDescent="0.25">
      <c r="A182" s="5" t="s">
        <v>401</v>
      </c>
      <c r="B182" s="5" t="s">
        <v>402</v>
      </c>
      <c r="C182" s="5" t="s">
        <v>21</v>
      </c>
      <c r="D182" s="5">
        <v>60</v>
      </c>
      <c r="E182" s="5" t="s">
        <v>22</v>
      </c>
      <c r="F182" s="5" t="s">
        <v>23</v>
      </c>
      <c r="G182" s="5" t="s">
        <v>33</v>
      </c>
      <c r="H182" s="5">
        <v>625891</v>
      </c>
      <c r="I182">
        <v>782</v>
      </c>
      <c r="J182">
        <v>1355406</v>
      </c>
      <c r="K182">
        <v>84</v>
      </c>
      <c r="L182">
        <v>12.13</v>
      </c>
      <c r="M182" t="s">
        <v>5</v>
      </c>
      <c r="N182" t="s">
        <v>34</v>
      </c>
      <c r="O182" t="s">
        <v>27</v>
      </c>
      <c r="P182">
        <v>18093.060000000001</v>
      </c>
      <c r="Q182">
        <v>854087.68000000005</v>
      </c>
      <c r="R182" t="s">
        <v>28</v>
      </c>
      <c r="S182" s="1">
        <v>45500</v>
      </c>
    </row>
    <row r="183" spans="1:19" x14ac:dyDescent="0.25">
      <c r="A183" s="5" t="s">
        <v>403</v>
      </c>
      <c r="B183" s="5" t="s">
        <v>404</v>
      </c>
      <c r="C183" s="5" t="s">
        <v>31</v>
      </c>
      <c r="D183" s="5">
        <v>26</v>
      </c>
      <c r="E183" s="5" t="s">
        <v>22</v>
      </c>
      <c r="F183" s="5" t="s">
        <v>23</v>
      </c>
      <c r="G183" s="5" t="s">
        <v>24</v>
      </c>
      <c r="H183" s="5">
        <v>1011828</v>
      </c>
      <c r="I183">
        <v>825</v>
      </c>
      <c r="J183">
        <v>1936262</v>
      </c>
      <c r="K183">
        <v>24</v>
      </c>
      <c r="L183">
        <v>10.9</v>
      </c>
      <c r="M183" t="s">
        <v>25</v>
      </c>
      <c r="N183" t="s">
        <v>34</v>
      </c>
      <c r="O183" t="s">
        <v>27</v>
      </c>
      <c r="P183">
        <v>89471.44</v>
      </c>
      <c r="Q183">
        <v>1337768.78</v>
      </c>
      <c r="R183" t="s">
        <v>28</v>
      </c>
      <c r="S183" s="1">
        <v>46003</v>
      </c>
    </row>
    <row r="184" spans="1:19" x14ac:dyDescent="0.25">
      <c r="A184" s="5" t="s">
        <v>405</v>
      </c>
      <c r="B184" s="5" t="s">
        <v>406</v>
      </c>
      <c r="C184" s="5" t="s">
        <v>21</v>
      </c>
      <c r="D184" s="5">
        <v>29</v>
      </c>
      <c r="E184" s="5" t="s">
        <v>22</v>
      </c>
      <c r="F184" s="5" t="s">
        <v>23</v>
      </c>
      <c r="G184" s="5" t="s">
        <v>24</v>
      </c>
      <c r="H184" s="5">
        <v>512778</v>
      </c>
      <c r="I184">
        <v>591</v>
      </c>
      <c r="J184">
        <v>742733</v>
      </c>
      <c r="K184">
        <v>60</v>
      </c>
      <c r="L184">
        <v>10.11</v>
      </c>
      <c r="M184" t="s">
        <v>5</v>
      </c>
      <c r="N184" t="s">
        <v>104</v>
      </c>
      <c r="O184" t="s">
        <v>27</v>
      </c>
      <c r="P184">
        <v>13630.39</v>
      </c>
      <c r="Q184">
        <v>390859.98</v>
      </c>
      <c r="R184" t="s">
        <v>28</v>
      </c>
      <c r="S184" s="1">
        <v>45331</v>
      </c>
    </row>
    <row r="185" spans="1:19" x14ac:dyDescent="0.25">
      <c r="A185" s="5" t="s">
        <v>407</v>
      </c>
      <c r="B185" s="5" t="s">
        <v>408</v>
      </c>
      <c r="C185" s="5" t="s">
        <v>21</v>
      </c>
      <c r="D185" s="5">
        <v>23</v>
      </c>
      <c r="E185" s="5" t="s">
        <v>22</v>
      </c>
      <c r="F185" s="5" t="s">
        <v>23</v>
      </c>
      <c r="G185" s="5" t="s">
        <v>24</v>
      </c>
      <c r="H185" s="5">
        <v>1770877</v>
      </c>
      <c r="I185">
        <v>672</v>
      </c>
      <c r="J185">
        <v>952900</v>
      </c>
      <c r="K185">
        <v>120</v>
      </c>
      <c r="L185">
        <v>7.6</v>
      </c>
      <c r="M185" t="s">
        <v>5</v>
      </c>
      <c r="N185" t="s">
        <v>34</v>
      </c>
      <c r="O185" t="s">
        <v>27</v>
      </c>
      <c r="P185">
        <v>8544.34</v>
      </c>
      <c r="Q185">
        <v>408470.85</v>
      </c>
      <c r="R185" t="s">
        <v>28</v>
      </c>
      <c r="S185" s="1">
        <v>45296</v>
      </c>
    </row>
    <row r="186" spans="1:19" x14ac:dyDescent="0.25">
      <c r="A186" s="5" t="s">
        <v>409</v>
      </c>
      <c r="B186" s="5" t="s">
        <v>410</v>
      </c>
      <c r="C186" s="5" t="s">
        <v>31</v>
      </c>
      <c r="D186" s="5">
        <v>55</v>
      </c>
      <c r="E186" s="5" t="s">
        <v>32</v>
      </c>
      <c r="F186" s="5" t="s">
        <v>42</v>
      </c>
      <c r="G186" s="5" t="s">
        <v>24</v>
      </c>
      <c r="H186" s="5">
        <v>569941</v>
      </c>
      <c r="I186">
        <v>767</v>
      </c>
      <c r="J186">
        <v>318912</v>
      </c>
      <c r="K186">
        <v>12</v>
      </c>
      <c r="L186">
        <v>8.94</v>
      </c>
      <c r="M186" t="s">
        <v>54</v>
      </c>
      <c r="N186" t="s">
        <v>26</v>
      </c>
      <c r="O186" t="s">
        <v>27</v>
      </c>
      <c r="P186">
        <v>28951.89</v>
      </c>
      <c r="Q186">
        <v>313553.34999999998</v>
      </c>
      <c r="R186" t="s">
        <v>28</v>
      </c>
      <c r="S186" s="1">
        <v>45958</v>
      </c>
    </row>
    <row r="187" spans="1:19" x14ac:dyDescent="0.25">
      <c r="A187" s="5" t="s">
        <v>411</v>
      </c>
      <c r="B187" s="5" t="s">
        <v>412</v>
      </c>
      <c r="C187" s="5" t="s">
        <v>31</v>
      </c>
      <c r="D187" s="5">
        <v>23</v>
      </c>
      <c r="E187" s="5" t="s">
        <v>32</v>
      </c>
      <c r="F187" s="5" t="s">
        <v>42</v>
      </c>
      <c r="G187" s="5" t="s">
        <v>24</v>
      </c>
      <c r="H187" s="5">
        <v>1956653</v>
      </c>
      <c r="I187">
        <v>645</v>
      </c>
      <c r="J187">
        <v>1602630</v>
      </c>
      <c r="K187">
        <v>48</v>
      </c>
      <c r="L187">
        <v>12.69</v>
      </c>
      <c r="M187" t="s">
        <v>54</v>
      </c>
      <c r="N187" t="s">
        <v>34</v>
      </c>
      <c r="O187" t="s">
        <v>27</v>
      </c>
      <c r="P187">
        <v>37625.08</v>
      </c>
      <c r="Q187">
        <v>489216.36</v>
      </c>
      <c r="R187" t="s">
        <v>28</v>
      </c>
      <c r="S187" s="1">
        <v>46004</v>
      </c>
    </row>
    <row r="188" spans="1:19" x14ac:dyDescent="0.25">
      <c r="A188" s="5" t="s">
        <v>413</v>
      </c>
      <c r="B188" s="5" t="s">
        <v>414</v>
      </c>
      <c r="C188" s="5" t="s">
        <v>31</v>
      </c>
      <c r="D188" s="5">
        <v>25</v>
      </c>
      <c r="E188" s="5" t="s">
        <v>22</v>
      </c>
      <c r="F188" s="5" t="s">
        <v>23</v>
      </c>
      <c r="G188" s="5" t="s">
        <v>24</v>
      </c>
      <c r="H188" s="5">
        <v>1472782</v>
      </c>
      <c r="I188">
        <v>799</v>
      </c>
      <c r="J188">
        <v>1186776</v>
      </c>
      <c r="K188">
        <v>84</v>
      </c>
      <c r="L188">
        <v>11.08</v>
      </c>
      <c r="M188" t="s">
        <v>43</v>
      </c>
      <c r="N188" t="s">
        <v>104</v>
      </c>
      <c r="O188" t="s">
        <v>27</v>
      </c>
      <c r="P188">
        <v>15693.7</v>
      </c>
      <c r="Q188">
        <v>308371.49</v>
      </c>
      <c r="R188" t="s">
        <v>28</v>
      </c>
      <c r="S188" s="1">
        <v>45880</v>
      </c>
    </row>
    <row r="189" spans="1:19" x14ac:dyDescent="0.25">
      <c r="A189" s="5" t="s">
        <v>415</v>
      </c>
      <c r="B189" s="5" t="s">
        <v>416</v>
      </c>
      <c r="C189" s="5" t="s">
        <v>31</v>
      </c>
      <c r="D189" s="5">
        <v>40</v>
      </c>
      <c r="E189" s="5" t="s">
        <v>22</v>
      </c>
      <c r="F189" s="5" t="s">
        <v>42</v>
      </c>
      <c r="G189" s="5" t="s">
        <v>24</v>
      </c>
      <c r="H189" s="5">
        <v>1803286</v>
      </c>
      <c r="I189">
        <v>726</v>
      </c>
      <c r="J189">
        <v>1296650</v>
      </c>
      <c r="K189">
        <v>24</v>
      </c>
      <c r="L189">
        <v>15.47</v>
      </c>
      <c r="M189" t="s">
        <v>5</v>
      </c>
      <c r="N189" t="s">
        <v>26</v>
      </c>
      <c r="O189" t="s">
        <v>27</v>
      </c>
      <c r="P189">
        <v>62385.07</v>
      </c>
      <c r="Q189">
        <v>351699.23</v>
      </c>
      <c r="R189" t="s">
        <v>28</v>
      </c>
      <c r="S189" s="1">
        <v>45298</v>
      </c>
    </row>
    <row r="190" spans="1:19" x14ac:dyDescent="0.25">
      <c r="A190" s="5" t="s">
        <v>417</v>
      </c>
      <c r="B190" s="5" t="s">
        <v>418</v>
      </c>
      <c r="C190" s="5" t="s">
        <v>31</v>
      </c>
      <c r="D190" s="5">
        <v>54</v>
      </c>
      <c r="E190" s="5" t="s">
        <v>32</v>
      </c>
      <c r="F190" s="5" t="s">
        <v>42</v>
      </c>
      <c r="G190" s="5" t="s">
        <v>33</v>
      </c>
      <c r="H190" s="5">
        <v>1165537</v>
      </c>
      <c r="I190">
        <v>774</v>
      </c>
      <c r="J190">
        <v>1982434</v>
      </c>
      <c r="K190">
        <v>24</v>
      </c>
      <c r="L190">
        <v>12.33</v>
      </c>
      <c r="M190" t="s">
        <v>57</v>
      </c>
      <c r="N190" t="s">
        <v>51</v>
      </c>
      <c r="O190" t="s">
        <v>27</v>
      </c>
      <c r="P190">
        <v>92786.17</v>
      </c>
      <c r="Q190">
        <v>838018.91</v>
      </c>
      <c r="R190" t="s">
        <v>28</v>
      </c>
      <c r="S190" s="1">
        <v>45885</v>
      </c>
    </row>
    <row r="191" spans="1:19" x14ac:dyDescent="0.25">
      <c r="A191" s="5" t="s">
        <v>419</v>
      </c>
      <c r="B191" s="5" t="s">
        <v>420</v>
      </c>
      <c r="C191" s="5" t="s">
        <v>31</v>
      </c>
      <c r="D191" s="5">
        <v>48</v>
      </c>
      <c r="E191" s="5" t="s">
        <v>22</v>
      </c>
      <c r="F191" s="5" t="s">
        <v>42</v>
      </c>
      <c r="G191" s="5" t="s">
        <v>33</v>
      </c>
      <c r="H191" s="5">
        <v>797614</v>
      </c>
      <c r="I191">
        <v>680</v>
      </c>
      <c r="J191">
        <v>857105</v>
      </c>
      <c r="K191">
        <v>12</v>
      </c>
      <c r="L191">
        <v>10.47</v>
      </c>
      <c r="M191" t="s">
        <v>5</v>
      </c>
      <c r="N191" t="s">
        <v>104</v>
      </c>
      <c r="O191" t="s">
        <v>27</v>
      </c>
      <c r="P191">
        <v>78903.66</v>
      </c>
      <c r="Q191">
        <v>245169.14</v>
      </c>
      <c r="R191" t="s">
        <v>28</v>
      </c>
      <c r="S191" s="1">
        <v>45526</v>
      </c>
    </row>
    <row r="192" spans="1:19" x14ac:dyDescent="0.25">
      <c r="A192" s="5" t="s">
        <v>421</v>
      </c>
      <c r="B192" s="5" t="s">
        <v>422</v>
      </c>
      <c r="C192" s="5" t="s">
        <v>21</v>
      </c>
      <c r="D192" s="5">
        <v>36</v>
      </c>
      <c r="E192" s="5" t="s">
        <v>32</v>
      </c>
      <c r="F192" s="5" t="s">
        <v>42</v>
      </c>
      <c r="G192" s="5" t="s">
        <v>24</v>
      </c>
      <c r="H192" s="5">
        <v>1978842</v>
      </c>
      <c r="I192">
        <v>805</v>
      </c>
      <c r="J192">
        <v>772890</v>
      </c>
      <c r="K192">
        <v>240</v>
      </c>
      <c r="L192">
        <v>12.65</v>
      </c>
      <c r="M192" t="s">
        <v>57</v>
      </c>
      <c r="N192" t="s">
        <v>104</v>
      </c>
      <c r="O192" t="s">
        <v>27</v>
      </c>
      <c r="P192">
        <v>3627.75</v>
      </c>
      <c r="Q192">
        <v>710863.98</v>
      </c>
      <c r="R192" t="s">
        <v>28</v>
      </c>
      <c r="S192" s="1">
        <v>45815</v>
      </c>
    </row>
    <row r="193" spans="1:19" x14ac:dyDescent="0.25">
      <c r="A193" s="5" t="s">
        <v>423</v>
      </c>
      <c r="B193" s="5" t="s">
        <v>424</v>
      </c>
      <c r="C193" s="5" t="s">
        <v>31</v>
      </c>
      <c r="D193" s="5">
        <v>36</v>
      </c>
      <c r="E193" s="5" t="s">
        <v>22</v>
      </c>
      <c r="F193" s="5" t="s">
        <v>42</v>
      </c>
      <c r="G193" s="5" t="s">
        <v>33</v>
      </c>
      <c r="H193" s="5">
        <v>1337682</v>
      </c>
      <c r="I193">
        <v>652</v>
      </c>
      <c r="J193">
        <v>1095560</v>
      </c>
      <c r="K193">
        <v>60</v>
      </c>
      <c r="L193">
        <v>15.2</v>
      </c>
      <c r="M193" t="s">
        <v>5</v>
      </c>
      <c r="N193" t="s">
        <v>44</v>
      </c>
      <c r="O193" t="s">
        <v>27</v>
      </c>
      <c r="P193">
        <v>21034.75</v>
      </c>
      <c r="Q193">
        <v>534465.88</v>
      </c>
      <c r="R193" t="s">
        <v>28</v>
      </c>
      <c r="S193" s="1">
        <v>45581</v>
      </c>
    </row>
    <row r="194" spans="1:19" x14ac:dyDescent="0.25">
      <c r="A194" s="5" t="s">
        <v>425</v>
      </c>
      <c r="B194" s="5" t="s">
        <v>426</v>
      </c>
      <c r="C194" s="5" t="s">
        <v>31</v>
      </c>
      <c r="D194" s="5">
        <v>22</v>
      </c>
      <c r="E194" s="5" t="s">
        <v>22</v>
      </c>
      <c r="F194" s="5" t="s">
        <v>42</v>
      </c>
      <c r="G194" s="5" t="s">
        <v>24</v>
      </c>
      <c r="H194" s="5">
        <v>1924904</v>
      </c>
      <c r="I194">
        <v>732</v>
      </c>
      <c r="J194">
        <v>845705</v>
      </c>
      <c r="K194">
        <v>24</v>
      </c>
      <c r="L194">
        <v>11.74</v>
      </c>
      <c r="M194" t="s">
        <v>54</v>
      </c>
      <c r="N194" t="s">
        <v>104</v>
      </c>
      <c r="O194" t="s">
        <v>27</v>
      </c>
      <c r="P194">
        <v>39374.620000000003</v>
      </c>
      <c r="Q194">
        <v>322719.61</v>
      </c>
      <c r="R194" t="s">
        <v>28</v>
      </c>
      <c r="S194" s="1">
        <v>45608</v>
      </c>
    </row>
    <row r="195" spans="1:19" x14ac:dyDescent="0.25">
      <c r="A195" s="5" t="s">
        <v>427</v>
      </c>
      <c r="B195" s="5" t="s">
        <v>428</v>
      </c>
      <c r="C195" s="5" t="s">
        <v>21</v>
      </c>
      <c r="D195" s="5">
        <v>33</v>
      </c>
      <c r="E195" s="5" t="s">
        <v>32</v>
      </c>
      <c r="F195" s="5" t="s">
        <v>42</v>
      </c>
      <c r="G195" s="5" t="s">
        <v>33</v>
      </c>
      <c r="H195" s="5">
        <v>1232599</v>
      </c>
      <c r="I195">
        <v>779</v>
      </c>
      <c r="J195">
        <v>1578630</v>
      </c>
      <c r="K195">
        <v>24</v>
      </c>
      <c r="L195">
        <v>7.61</v>
      </c>
      <c r="M195" t="s">
        <v>57</v>
      </c>
      <c r="N195" t="s">
        <v>104</v>
      </c>
      <c r="O195" t="s">
        <v>27</v>
      </c>
      <c r="P195">
        <v>70781.820000000007</v>
      </c>
      <c r="Q195">
        <v>232394.2</v>
      </c>
      <c r="R195" t="s">
        <v>28</v>
      </c>
      <c r="S195" s="1">
        <v>45967</v>
      </c>
    </row>
    <row r="196" spans="1:19" x14ac:dyDescent="0.25">
      <c r="A196" s="5" t="s">
        <v>429</v>
      </c>
      <c r="B196" s="5" t="s">
        <v>430</v>
      </c>
      <c r="C196" s="5" t="s">
        <v>21</v>
      </c>
      <c r="D196" s="5">
        <v>28</v>
      </c>
      <c r="E196" s="5" t="s">
        <v>22</v>
      </c>
      <c r="F196" s="5" t="s">
        <v>42</v>
      </c>
      <c r="G196" s="5" t="s">
        <v>33</v>
      </c>
      <c r="H196" s="5">
        <v>894218</v>
      </c>
      <c r="I196">
        <v>767</v>
      </c>
      <c r="J196">
        <v>1734011</v>
      </c>
      <c r="K196">
        <v>24</v>
      </c>
      <c r="L196">
        <v>11.75</v>
      </c>
      <c r="M196" t="s">
        <v>54</v>
      </c>
      <c r="N196" t="s">
        <v>38</v>
      </c>
      <c r="O196" t="s">
        <v>27</v>
      </c>
      <c r="P196">
        <v>80739.89</v>
      </c>
      <c r="Q196">
        <v>514901.64</v>
      </c>
      <c r="R196" t="s">
        <v>28</v>
      </c>
      <c r="S196" s="1">
        <v>45380</v>
      </c>
    </row>
    <row r="197" spans="1:19" x14ac:dyDescent="0.25">
      <c r="A197" s="5" t="s">
        <v>431</v>
      </c>
      <c r="B197" s="5" t="s">
        <v>432</v>
      </c>
      <c r="C197" s="5" t="s">
        <v>21</v>
      </c>
      <c r="D197" s="5">
        <v>21</v>
      </c>
      <c r="E197" s="5" t="s">
        <v>32</v>
      </c>
      <c r="F197" s="5" t="s">
        <v>23</v>
      </c>
      <c r="G197" s="5" t="s">
        <v>24</v>
      </c>
      <c r="H197" s="5">
        <v>812980</v>
      </c>
      <c r="I197">
        <v>695</v>
      </c>
      <c r="J197">
        <v>1560834</v>
      </c>
      <c r="K197">
        <v>180</v>
      </c>
      <c r="L197">
        <v>8.07</v>
      </c>
      <c r="M197" t="s">
        <v>25</v>
      </c>
      <c r="N197" t="s">
        <v>38</v>
      </c>
      <c r="O197" t="s">
        <v>27</v>
      </c>
      <c r="P197">
        <v>9371.07</v>
      </c>
      <c r="Q197">
        <v>513899.2</v>
      </c>
      <c r="R197" t="s">
        <v>28</v>
      </c>
      <c r="S197" s="1">
        <v>45414</v>
      </c>
    </row>
    <row r="198" spans="1:19" x14ac:dyDescent="0.25">
      <c r="A198" s="5" t="s">
        <v>433</v>
      </c>
      <c r="B198" s="5" t="s">
        <v>434</v>
      </c>
      <c r="C198" s="5" t="s">
        <v>31</v>
      </c>
      <c r="D198" s="5">
        <v>31</v>
      </c>
      <c r="E198" s="5" t="s">
        <v>32</v>
      </c>
      <c r="F198" s="5" t="s">
        <v>23</v>
      </c>
      <c r="G198" s="5" t="s">
        <v>24</v>
      </c>
      <c r="H198" s="5">
        <v>523570</v>
      </c>
      <c r="I198">
        <v>600</v>
      </c>
      <c r="J198">
        <v>1247295</v>
      </c>
      <c r="K198">
        <v>120</v>
      </c>
      <c r="L198">
        <v>13.08</v>
      </c>
      <c r="M198" t="s">
        <v>54</v>
      </c>
      <c r="N198" t="s">
        <v>38</v>
      </c>
      <c r="O198" t="s">
        <v>39</v>
      </c>
      <c r="P198">
        <v>11753.68</v>
      </c>
      <c r="Q198">
        <v>398598.48</v>
      </c>
      <c r="R198" t="s">
        <v>28</v>
      </c>
      <c r="S198" s="1">
        <v>45797</v>
      </c>
    </row>
    <row r="199" spans="1:19" x14ac:dyDescent="0.25">
      <c r="A199" s="5" t="s">
        <v>435</v>
      </c>
      <c r="B199" s="5" t="s">
        <v>436</v>
      </c>
      <c r="C199" s="5" t="s">
        <v>31</v>
      </c>
      <c r="D199" s="5">
        <v>37</v>
      </c>
      <c r="E199" s="5" t="s">
        <v>22</v>
      </c>
      <c r="F199" s="5" t="s">
        <v>42</v>
      </c>
      <c r="G199" s="5" t="s">
        <v>24</v>
      </c>
      <c r="H199" s="5">
        <v>1339509</v>
      </c>
      <c r="I199">
        <v>848</v>
      </c>
      <c r="J199">
        <v>1298531</v>
      </c>
      <c r="K199">
        <v>120</v>
      </c>
      <c r="L199">
        <v>15.2</v>
      </c>
      <c r="M199" t="s">
        <v>43</v>
      </c>
      <c r="N199" t="s">
        <v>38</v>
      </c>
      <c r="O199" t="s">
        <v>27</v>
      </c>
      <c r="P199">
        <v>12465.9</v>
      </c>
      <c r="Q199">
        <v>756136.72</v>
      </c>
      <c r="R199" t="s">
        <v>28</v>
      </c>
      <c r="S199" s="1">
        <v>45509</v>
      </c>
    </row>
    <row r="200" spans="1:19" x14ac:dyDescent="0.25">
      <c r="A200" s="5" t="s">
        <v>437</v>
      </c>
      <c r="B200" s="5" t="s">
        <v>438</v>
      </c>
      <c r="C200" s="5" t="s">
        <v>21</v>
      </c>
      <c r="D200" s="5">
        <v>55</v>
      </c>
      <c r="E200" s="5" t="s">
        <v>22</v>
      </c>
      <c r="F200" s="5" t="s">
        <v>42</v>
      </c>
      <c r="G200" s="5" t="s">
        <v>24</v>
      </c>
      <c r="H200" s="5">
        <v>449395</v>
      </c>
      <c r="I200">
        <v>847</v>
      </c>
      <c r="J200">
        <v>444120</v>
      </c>
      <c r="K200">
        <v>48</v>
      </c>
      <c r="L200">
        <v>12.2</v>
      </c>
      <c r="M200" t="s">
        <v>54</v>
      </c>
      <c r="N200" t="s">
        <v>44</v>
      </c>
      <c r="O200" t="s">
        <v>27</v>
      </c>
      <c r="P200">
        <v>10381.299999999999</v>
      </c>
      <c r="Q200">
        <v>344185.49</v>
      </c>
      <c r="R200" t="s">
        <v>28</v>
      </c>
      <c r="S200" s="1">
        <v>45940</v>
      </c>
    </row>
    <row r="201" spans="1:19" x14ac:dyDescent="0.25">
      <c r="A201" s="5" t="s">
        <v>439</v>
      </c>
      <c r="B201" s="5" t="s">
        <v>440</v>
      </c>
      <c r="C201" s="5" t="s">
        <v>31</v>
      </c>
      <c r="D201" s="5">
        <v>59</v>
      </c>
      <c r="E201" s="5" t="s">
        <v>22</v>
      </c>
      <c r="F201" s="5" t="s">
        <v>23</v>
      </c>
      <c r="G201" s="5" t="s">
        <v>24</v>
      </c>
      <c r="H201" s="5">
        <v>618223</v>
      </c>
      <c r="I201">
        <v>817</v>
      </c>
      <c r="J201">
        <v>1789077</v>
      </c>
      <c r="K201">
        <v>48</v>
      </c>
      <c r="L201">
        <v>9.39</v>
      </c>
      <c r="M201" t="s">
        <v>5</v>
      </c>
      <c r="N201" t="s">
        <v>44</v>
      </c>
      <c r="O201" t="s">
        <v>27</v>
      </c>
      <c r="P201">
        <v>40772.32</v>
      </c>
      <c r="Q201">
        <v>757970.26</v>
      </c>
      <c r="R201" t="s">
        <v>28</v>
      </c>
      <c r="S201" s="1">
        <v>45799</v>
      </c>
    </row>
    <row r="202" spans="1:19" x14ac:dyDescent="0.25">
      <c r="A202" s="5" t="s">
        <v>441</v>
      </c>
      <c r="B202" s="5" t="s">
        <v>442</v>
      </c>
      <c r="C202" s="5" t="s">
        <v>31</v>
      </c>
      <c r="D202" s="5">
        <v>47</v>
      </c>
      <c r="E202" s="5" t="s">
        <v>22</v>
      </c>
      <c r="F202" s="5" t="s">
        <v>23</v>
      </c>
      <c r="G202" s="5" t="s">
        <v>33</v>
      </c>
      <c r="H202" s="5">
        <v>1905185</v>
      </c>
      <c r="I202">
        <v>845</v>
      </c>
      <c r="J202">
        <v>178287</v>
      </c>
      <c r="K202">
        <v>240</v>
      </c>
      <c r="L202">
        <v>13.8</v>
      </c>
      <c r="M202" t="s">
        <v>43</v>
      </c>
      <c r="N202" t="s">
        <v>34</v>
      </c>
      <c r="O202" t="s">
        <v>27</v>
      </c>
      <c r="P202">
        <v>845.38</v>
      </c>
      <c r="Q202">
        <v>43959.65</v>
      </c>
      <c r="R202" t="s">
        <v>28</v>
      </c>
      <c r="S202" s="1">
        <v>45494</v>
      </c>
    </row>
    <row r="203" spans="1:19" x14ac:dyDescent="0.25">
      <c r="A203" s="5" t="s">
        <v>443</v>
      </c>
      <c r="B203" s="5" t="s">
        <v>444</v>
      </c>
      <c r="C203" s="5" t="s">
        <v>21</v>
      </c>
      <c r="D203" s="5">
        <v>42</v>
      </c>
      <c r="E203" s="5" t="s">
        <v>22</v>
      </c>
      <c r="F203" s="5" t="s">
        <v>23</v>
      </c>
      <c r="G203" s="5" t="s">
        <v>33</v>
      </c>
      <c r="H203" s="5">
        <v>1345674</v>
      </c>
      <c r="I203">
        <v>758</v>
      </c>
      <c r="J203">
        <v>1787796</v>
      </c>
      <c r="K203">
        <v>60</v>
      </c>
      <c r="L203">
        <v>11.52</v>
      </c>
      <c r="M203" t="s">
        <v>43</v>
      </c>
      <c r="N203" t="s">
        <v>51</v>
      </c>
      <c r="O203" t="s">
        <v>27</v>
      </c>
      <c r="P203">
        <v>33229.17</v>
      </c>
      <c r="Q203">
        <v>1285420.2</v>
      </c>
      <c r="R203" t="s">
        <v>28</v>
      </c>
      <c r="S203" s="1">
        <v>45359</v>
      </c>
    </row>
    <row r="204" spans="1:19" x14ac:dyDescent="0.25">
      <c r="A204" s="5" t="s">
        <v>445</v>
      </c>
      <c r="B204" s="5" t="s">
        <v>446</v>
      </c>
      <c r="C204" s="5" t="s">
        <v>31</v>
      </c>
      <c r="D204" s="5">
        <v>55</v>
      </c>
      <c r="E204" s="5" t="s">
        <v>22</v>
      </c>
      <c r="F204" s="5" t="s">
        <v>23</v>
      </c>
      <c r="G204" s="5" t="s">
        <v>24</v>
      </c>
      <c r="H204" s="5">
        <v>1576940</v>
      </c>
      <c r="I204">
        <v>706</v>
      </c>
      <c r="J204">
        <v>1339438</v>
      </c>
      <c r="K204">
        <v>24</v>
      </c>
      <c r="L204">
        <v>10.74</v>
      </c>
      <c r="M204" t="s">
        <v>43</v>
      </c>
      <c r="N204" t="s">
        <v>34</v>
      </c>
      <c r="O204" t="s">
        <v>27</v>
      </c>
      <c r="P204">
        <v>61803.9</v>
      </c>
      <c r="Q204">
        <v>1317395.3799999999</v>
      </c>
      <c r="R204" t="s">
        <v>28</v>
      </c>
      <c r="S204" s="1">
        <v>45393</v>
      </c>
    </row>
    <row r="205" spans="1:19" x14ac:dyDescent="0.25">
      <c r="A205" s="5" t="s">
        <v>447</v>
      </c>
      <c r="B205" s="5" t="s">
        <v>448</v>
      </c>
      <c r="C205" s="5" t="s">
        <v>21</v>
      </c>
      <c r="D205" s="5">
        <v>42</v>
      </c>
      <c r="E205" s="5" t="s">
        <v>32</v>
      </c>
      <c r="F205" s="5" t="s">
        <v>23</v>
      </c>
      <c r="G205" s="5" t="s">
        <v>33</v>
      </c>
      <c r="H205" s="5">
        <v>1307855</v>
      </c>
      <c r="I205">
        <v>719</v>
      </c>
      <c r="J205">
        <v>806863</v>
      </c>
      <c r="K205">
        <v>48</v>
      </c>
      <c r="L205">
        <v>13.59</v>
      </c>
      <c r="M205" t="s">
        <v>54</v>
      </c>
      <c r="N205" t="s">
        <v>44</v>
      </c>
      <c r="O205" t="s">
        <v>27</v>
      </c>
      <c r="P205">
        <v>19094.080000000002</v>
      </c>
      <c r="Q205">
        <v>108201.33</v>
      </c>
      <c r="R205" t="s">
        <v>28</v>
      </c>
      <c r="S205" s="1">
        <v>45882</v>
      </c>
    </row>
    <row r="206" spans="1:19" x14ac:dyDescent="0.25">
      <c r="A206" s="5" t="s">
        <v>449</v>
      </c>
      <c r="B206" s="5" t="s">
        <v>450</v>
      </c>
      <c r="C206" s="5" t="s">
        <v>21</v>
      </c>
      <c r="D206" s="5">
        <v>49</v>
      </c>
      <c r="E206" s="5" t="s">
        <v>32</v>
      </c>
      <c r="F206" s="5" t="s">
        <v>23</v>
      </c>
      <c r="G206" s="5" t="s">
        <v>24</v>
      </c>
      <c r="H206" s="5">
        <v>1138678</v>
      </c>
      <c r="I206">
        <v>714</v>
      </c>
      <c r="J206">
        <v>367537</v>
      </c>
      <c r="K206">
        <v>12</v>
      </c>
      <c r="L206">
        <v>7.91</v>
      </c>
      <c r="M206" t="s">
        <v>5</v>
      </c>
      <c r="N206" t="s">
        <v>34</v>
      </c>
      <c r="O206" t="s">
        <v>27</v>
      </c>
      <c r="P206">
        <v>33050.76</v>
      </c>
      <c r="Q206">
        <v>218792.91</v>
      </c>
      <c r="R206" t="s">
        <v>28</v>
      </c>
      <c r="S206" s="1">
        <v>45552</v>
      </c>
    </row>
    <row r="207" spans="1:19" x14ac:dyDescent="0.25">
      <c r="A207" s="5" t="s">
        <v>451</v>
      </c>
      <c r="B207" s="5" t="s">
        <v>452</v>
      </c>
      <c r="C207" s="5" t="s">
        <v>31</v>
      </c>
      <c r="D207" s="5">
        <v>28</v>
      </c>
      <c r="E207" s="5" t="s">
        <v>22</v>
      </c>
      <c r="F207" s="5" t="s">
        <v>23</v>
      </c>
      <c r="G207" s="5" t="s">
        <v>33</v>
      </c>
      <c r="H207" s="5">
        <v>1261347</v>
      </c>
      <c r="I207">
        <v>568</v>
      </c>
      <c r="J207">
        <v>1956661</v>
      </c>
      <c r="K207">
        <v>48</v>
      </c>
      <c r="L207">
        <v>9.73</v>
      </c>
      <c r="M207" t="s">
        <v>5</v>
      </c>
      <c r="N207" t="s">
        <v>34</v>
      </c>
      <c r="O207" t="s">
        <v>27</v>
      </c>
      <c r="P207">
        <v>44730.09</v>
      </c>
      <c r="Q207">
        <v>1370240.14</v>
      </c>
      <c r="R207" t="s">
        <v>28</v>
      </c>
      <c r="S207" s="1">
        <v>45645</v>
      </c>
    </row>
    <row r="208" spans="1:19" x14ac:dyDescent="0.25">
      <c r="A208" s="5" t="s">
        <v>453</v>
      </c>
      <c r="B208" s="5" t="s">
        <v>454</v>
      </c>
      <c r="C208" s="5" t="s">
        <v>21</v>
      </c>
      <c r="D208" s="5">
        <v>50</v>
      </c>
      <c r="E208" s="5" t="s">
        <v>32</v>
      </c>
      <c r="F208" s="5" t="s">
        <v>23</v>
      </c>
      <c r="G208" s="5" t="s">
        <v>33</v>
      </c>
      <c r="H208" s="5">
        <v>1305766</v>
      </c>
      <c r="I208">
        <v>774</v>
      </c>
      <c r="J208">
        <v>1590779</v>
      </c>
      <c r="K208">
        <v>12</v>
      </c>
      <c r="L208">
        <v>11.56</v>
      </c>
      <c r="M208" t="s">
        <v>54</v>
      </c>
      <c r="N208" t="s">
        <v>38</v>
      </c>
      <c r="O208" t="s">
        <v>27</v>
      </c>
      <c r="P208">
        <v>147889.42000000001</v>
      </c>
      <c r="Q208">
        <v>884444.28</v>
      </c>
      <c r="R208" t="s">
        <v>28</v>
      </c>
      <c r="S208" s="1">
        <v>45314</v>
      </c>
    </row>
    <row r="209" spans="1:19" x14ac:dyDescent="0.25">
      <c r="A209" s="5" t="s">
        <v>455</v>
      </c>
      <c r="B209" s="5" t="s">
        <v>456</v>
      </c>
      <c r="C209" s="5" t="s">
        <v>31</v>
      </c>
      <c r="D209" s="5">
        <v>48</v>
      </c>
      <c r="E209" s="5" t="s">
        <v>32</v>
      </c>
      <c r="F209" s="5" t="s">
        <v>23</v>
      </c>
      <c r="G209" s="5" t="s">
        <v>24</v>
      </c>
      <c r="H209" s="5">
        <v>1988126</v>
      </c>
      <c r="I209">
        <v>718</v>
      </c>
      <c r="J209">
        <v>586572</v>
      </c>
      <c r="K209">
        <v>36</v>
      </c>
      <c r="L209">
        <v>8.66</v>
      </c>
      <c r="M209" t="s">
        <v>5</v>
      </c>
      <c r="N209" t="s">
        <v>38</v>
      </c>
      <c r="O209" t="s">
        <v>27</v>
      </c>
      <c r="P209">
        <v>17704.7</v>
      </c>
      <c r="Q209">
        <v>501436.81</v>
      </c>
      <c r="R209" t="s">
        <v>28</v>
      </c>
      <c r="S209" s="1">
        <v>45490</v>
      </c>
    </row>
    <row r="210" spans="1:19" x14ac:dyDescent="0.25">
      <c r="A210" s="5" t="s">
        <v>457</v>
      </c>
      <c r="B210" s="5" t="s">
        <v>458</v>
      </c>
      <c r="C210" s="5" t="s">
        <v>31</v>
      </c>
      <c r="D210" s="5">
        <v>58</v>
      </c>
      <c r="E210" s="5" t="s">
        <v>22</v>
      </c>
      <c r="F210" s="5" t="s">
        <v>42</v>
      </c>
      <c r="G210" s="5" t="s">
        <v>24</v>
      </c>
      <c r="H210" s="5">
        <v>587590</v>
      </c>
      <c r="I210">
        <v>643</v>
      </c>
      <c r="J210">
        <v>1960490</v>
      </c>
      <c r="K210">
        <v>48</v>
      </c>
      <c r="L210">
        <v>12.97</v>
      </c>
      <c r="M210" t="s">
        <v>54</v>
      </c>
      <c r="N210" t="s">
        <v>34</v>
      </c>
      <c r="O210" t="s">
        <v>27</v>
      </c>
      <c r="P210">
        <v>46140.95</v>
      </c>
      <c r="Q210">
        <v>344806.93</v>
      </c>
      <c r="R210" t="s">
        <v>28</v>
      </c>
      <c r="S210" s="1">
        <v>45635</v>
      </c>
    </row>
    <row r="211" spans="1:19" x14ac:dyDescent="0.25">
      <c r="A211" s="5" t="s">
        <v>459</v>
      </c>
      <c r="B211" s="5" t="s">
        <v>460</v>
      </c>
      <c r="C211" s="5" t="s">
        <v>21</v>
      </c>
      <c r="D211" s="5">
        <v>45</v>
      </c>
      <c r="E211" s="5" t="s">
        <v>32</v>
      </c>
      <c r="F211" s="5" t="s">
        <v>23</v>
      </c>
      <c r="G211" s="5" t="s">
        <v>24</v>
      </c>
      <c r="H211" s="5">
        <v>563258</v>
      </c>
      <c r="I211">
        <v>750</v>
      </c>
      <c r="J211">
        <v>365285</v>
      </c>
      <c r="K211">
        <v>24</v>
      </c>
      <c r="L211">
        <v>10.69</v>
      </c>
      <c r="M211" t="s">
        <v>25</v>
      </c>
      <c r="N211" t="s">
        <v>34</v>
      </c>
      <c r="O211" t="s">
        <v>27</v>
      </c>
      <c r="P211">
        <v>16847.25</v>
      </c>
      <c r="Q211">
        <v>102608.09</v>
      </c>
      <c r="R211" t="s">
        <v>28</v>
      </c>
      <c r="S211" s="1">
        <v>45984</v>
      </c>
    </row>
    <row r="212" spans="1:19" x14ac:dyDescent="0.25">
      <c r="A212" s="5" t="s">
        <v>461</v>
      </c>
      <c r="B212" s="5" t="s">
        <v>462</v>
      </c>
      <c r="C212" s="5" t="s">
        <v>31</v>
      </c>
      <c r="D212" s="5">
        <v>45</v>
      </c>
      <c r="E212" s="5" t="s">
        <v>22</v>
      </c>
      <c r="F212" s="5" t="s">
        <v>23</v>
      </c>
      <c r="G212" s="5" t="s">
        <v>33</v>
      </c>
      <c r="H212" s="5">
        <v>1618488</v>
      </c>
      <c r="I212">
        <v>822</v>
      </c>
      <c r="J212">
        <v>402778</v>
      </c>
      <c r="K212">
        <v>120</v>
      </c>
      <c r="L212">
        <v>11.42</v>
      </c>
      <c r="M212" t="s">
        <v>5</v>
      </c>
      <c r="N212" t="s">
        <v>34</v>
      </c>
      <c r="O212" t="s">
        <v>27</v>
      </c>
      <c r="P212">
        <v>3739.79</v>
      </c>
      <c r="Q212">
        <v>353249.9</v>
      </c>
      <c r="R212" t="s">
        <v>28</v>
      </c>
      <c r="S212" s="1">
        <v>45600</v>
      </c>
    </row>
    <row r="213" spans="1:19" x14ac:dyDescent="0.25">
      <c r="A213" s="5" t="s">
        <v>463</v>
      </c>
      <c r="B213" s="5" t="s">
        <v>464</v>
      </c>
      <c r="C213" s="5" t="s">
        <v>31</v>
      </c>
      <c r="D213" s="5">
        <v>28</v>
      </c>
      <c r="E213" s="5" t="s">
        <v>32</v>
      </c>
      <c r="F213" s="5" t="s">
        <v>42</v>
      </c>
      <c r="G213" s="5" t="s">
        <v>33</v>
      </c>
      <c r="H213" s="5">
        <v>1821503</v>
      </c>
      <c r="I213">
        <v>584</v>
      </c>
      <c r="J213">
        <v>1551978</v>
      </c>
      <c r="K213">
        <v>12</v>
      </c>
      <c r="L213">
        <v>8.5299999999999994</v>
      </c>
      <c r="M213" t="s">
        <v>25</v>
      </c>
      <c r="N213" t="s">
        <v>34</v>
      </c>
      <c r="O213" t="s">
        <v>27</v>
      </c>
      <c r="P213">
        <v>140363.48000000001</v>
      </c>
      <c r="Q213">
        <v>831294.47</v>
      </c>
      <c r="R213" t="s">
        <v>28</v>
      </c>
      <c r="S213" s="1">
        <v>45323</v>
      </c>
    </row>
    <row r="214" spans="1:19" x14ac:dyDescent="0.25">
      <c r="A214" s="5" t="s">
        <v>465</v>
      </c>
      <c r="B214" s="5" t="s">
        <v>466</v>
      </c>
      <c r="C214" s="5" t="s">
        <v>21</v>
      </c>
      <c r="D214" s="5">
        <v>57</v>
      </c>
      <c r="E214" s="5" t="s">
        <v>32</v>
      </c>
      <c r="F214" s="5" t="s">
        <v>42</v>
      </c>
      <c r="G214" s="5" t="s">
        <v>33</v>
      </c>
      <c r="H214" s="5">
        <v>873681</v>
      </c>
      <c r="I214">
        <v>608</v>
      </c>
      <c r="J214">
        <v>722211</v>
      </c>
      <c r="K214">
        <v>84</v>
      </c>
      <c r="L214">
        <v>12.95</v>
      </c>
      <c r="M214" t="s">
        <v>57</v>
      </c>
      <c r="N214" t="s">
        <v>51</v>
      </c>
      <c r="O214" t="s">
        <v>27</v>
      </c>
      <c r="P214">
        <v>9711.16</v>
      </c>
      <c r="Q214">
        <v>707968.03</v>
      </c>
      <c r="R214" t="s">
        <v>28</v>
      </c>
      <c r="S214" s="1">
        <v>45535</v>
      </c>
    </row>
    <row r="215" spans="1:19" x14ac:dyDescent="0.25">
      <c r="A215" s="5" t="s">
        <v>467</v>
      </c>
      <c r="B215" s="5" t="s">
        <v>468</v>
      </c>
      <c r="C215" s="5" t="s">
        <v>31</v>
      </c>
      <c r="D215" s="5">
        <v>21</v>
      </c>
      <c r="E215" s="5" t="s">
        <v>22</v>
      </c>
      <c r="F215" s="5" t="s">
        <v>23</v>
      </c>
      <c r="G215" s="5" t="s">
        <v>33</v>
      </c>
      <c r="H215" s="5">
        <v>1847329</v>
      </c>
      <c r="I215">
        <v>589</v>
      </c>
      <c r="J215">
        <v>260482</v>
      </c>
      <c r="K215">
        <v>60</v>
      </c>
      <c r="L215">
        <v>9.42</v>
      </c>
      <c r="M215" t="s">
        <v>25</v>
      </c>
      <c r="N215" t="s">
        <v>44</v>
      </c>
      <c r="O215" t="s">
        <v>27</v>
      </c>
      <c r="P215">
        <v>4750.32</v>
      </c>
      <c r="Q215">
        <v>56859.02</v>
      </c>
      <c r="R215" t="s">
        <v>35</v>
      </c>
      <c r="S215" s="1">
        <v>45500</v>
      </c>
    </row>
    <row r="216" spans="1:19" x14ac:dyDescent="0.25">
      <c r="A216" s="5" t="s">
        <v>469</v>
      </c>
      <c r="B216" s="5" t="s">
        <v>470</v>
      </c>
      <c r="C216" s="5" t="s">
        <v>31</v>
      </c>
      <c r="D216" s="5">
        <v>53</v>
      </c>
      <c r="E216" s="5" t="s">
        <v>32</v>
      </c>
      <c r="F216" s="5" t="s">
        <v>23</v>
      </c>
      <c r="G216" s="5" t="s">
        <v>33</v>
      </c>
      <c r="H216" s="5">
        <v>1269221</v>
      </c>
      <c r="I216">
        <v>663</v>
      </c>
      <c r="J216">
        <v>240112</v>
      </c>
      <c r="K216">
        <v>84</v>
      </c>
      <c r="L216">
        <v>13.02</v>
      </c>
      <c r="M216" t="s">
        <v>54</v>
      </c>
      <c r="N216" t="s">
        <v>51</v>
      </c>
      <c r="O216" t="s">
        <v>27</v>
      </c>
      <c r="P216">
        <v>3230.65</v>
      </c>
      <c r="Q216">
        <v>75178.23</v>
      </c>
      <c r="R216" t="s">
        <v>28</v>
      </c>
      <c r="S216" s="1">
        <v>45673</v>
      </c>
    </row>
    <row r="217" spans="1:19" x14ac:dyDescent="0.25">
      <c r="A217" s="5" t="s">
        <v>471</v>
      </c>
      <c r="B217" s="5" t="s">
        <v>472</v>
      </c>
      <c r="C217" s="5" t="s">
        <v>21</v>
      </c>
      <c r="D217" s="5">
        <v>32</v>
      </c>
      <c r="E217" s="5" t="s">
        <v>22</v>
      </c>
      <c r="F217" s="5" t="s">
        <v>23</v>
      </c>
      <c r="G217" s="5" t="s">
        <v>33</v>
      </c>
      <c r="H217" s="5">
        <v>1279403</v>
      </c>
      <c r="I217">
        <v>793</v>
      </c>
      <c r="J217">
        <v>1378291</v>
      </c>
      <c r="K217">
        <v>240</v>
      </c>
      <c r="L217">
        <v>9.6999999999999993</v>
      </c>
      <c r="M217" t="s">
        <v>43</v>
      </c>
      <c r="N217" t="s">
        <v>38</v>
      </c>
      <c r="O217" t="s">
        <v>27</v>
      </c>
      <c r="P217">
        <v>6299.94</v>
      </c>
      <c r="Q217">
        <v>1310159.1499999999</v>
      </c>
      <c r="R217" t="s">
        <v>28</v>
      </c>
      <c r="S217" s="1">
        <v>45767</v>
      </c>
    </row>
    <row r="218" spans="1:19" x14ac:dyDescent="0.25">
      <c r="A218" s="5" t="s">
        <v>473</v>
      </c>
      <c r="B218" s="5" t="s">
        <v>474</v>
      </c>
      <c r="C218" s="5" t="s">
        <v>21</v>
      </c>
      <c r="D218" s="5">
        <v>54</v>
      </c>
      <c r="E218" s="5" t="s">
        <v>22</v>
      </c>
      <c r="F218" s="5" t="s">
        <v>42</v>
      </c>
      <c r="G218" s="5" t="s">
        <v>33</v>
      </c>
      <c r="H218" s="5">
        <v>824852</v>
      </c>
      <c r="I218">
        <v>732</v>
      </c>
      <c r="J218">
        <v>354409</v>
      </c>
      <c r="K218">
        <v>180</v>
      </c>
      <c r="L218">
        <v>14.01</v>
      </c>
      <c r="M218" t="s">
        <v>5</v>
      </c>
      <c r="N218" t="s">
        <v>104</v>
      </c>
      <c r="O218" t="s">
        <v>27</v>
      </c>
      <c r="P218">
        <v>2244.79</v>
      </c>
      <c r="Q218">
        <v>88492.22</v>
      </c>
      <c r="R218" t="s">
        <v>28</v>
      </c>
      <c r="S218" s="1">
        <v>45529</v>
      </c>
    </row>
    <row r="219" spans="1:19" x14ac:dyDescent="0.25">
      <c r="A219" s="5" t="s">
        <v>475</v>
      </c>
      <c r="B219" s="5" t="s">
        <v>476</v>
      </c>
      <c r="C219" s="5" t="s">
        <v>21</v>
      </c>
      <c r="D219" s="5">
        <v>42</v>
      </c>
      <c r="E219" s="5" t="s">
        <v>32</v>
      </c>
      <c r="F219" s="5" t="s">
        <v>23</v>
      </c>
      <c r="G219" s="5" t="s">
        <v>24</v>
      </c>
      <c r="H219" s="5">
        <v>932882</v>
      </c>
      <c r="I219">
        <v>586</v>
      </c>
      <c r="J219">
        <v>1371516</v>
      </c>
      <c r="K219">
        <v>36</v>
      </c>
      <c r="L219">
        <v>14.91</v>
      </c>
      <c r="M219" t="s">
        <v>54</v>
      </c>
      <c r="N219" t="s">
        <v>34</v>
      </c>
      <c r="O219" t="s">
        <v>27</v>
      </c>
      <c r="P219">
        <v>43778.03</v>
      </c>
      <c r="Q219">
        <v>832495.3</v>
      </c>
      <c r="R219" t="s">
        <v>28</v>
      </c>
      <c r="S219" s="1">
        <v>45756</v>
      </c>
    </row>
    <row r="220" spans="1:19" x14ac:dyDescent="0.25">
      <c r="A220" s="5" t="s">
        <v>477</v>
      </c>
      <c r="B220" s="5" t="s">
        <v>478</v>
      </c>
      <c r="C220" s="5" t="s">
        <v>31</v>
      </c>
      <c r="D220" s="5">
        <v>38</v>
      </c>
      <c r="E220" s="5" t="s">
        <v>22</v>
      </c>
      <c r="F220" s="5" t="s">
        <v>23</v>
      </c>
      <c r="G220" s="5" t="s">
        <v>24</v>
      </c>
      <c r="H220" s="5">
        <v>295595</v>
      </c>
      <c r="I220">
        <v>557</v>
      </c>
      <c r="J220">
        <v>735281</v>
      </c>
      <c r="K220">
        <v>60</v>
      </c>
      <c r="L220">
        <v>14.52</v>
      </c>
      <c r="M220" t="s">
        <v>5</v>
      </c>
      <c r="N220" t="s">
        <v>44</v>
      </c>
      <c r="O220" t="s">
        <v>27</v>
      </c>
      <c r="P220">
        <v>14034.06</v>
      </c>
      <c r="Q220">
        <v>418068.47</v>
      </c>
      <c r="R220" t="s">
        <v>28</v>
      </c>
      <c r="S220" s="1">
        <v>45488</v>
      </c>
    </row>
    <row r="221" spans="1:19" x14ac:dyDescent="0.25">
      <c r="A221" s="5" t="s">
        <v>479</v>
      </c>
      <c r="B221" s="5" t="s">
        <v>480</v>
      </c>
      <c r="C221" s="5" t="s">
        <v>31</v>
      </c>
      <c r="D221" s="5">
        <v>40</v>
      </c>
      <c r="E221" s="5" t="s">
        <v>22</v>
      </c>
      <c r="F221" s="5" t="s">
        <v>23</v>
      </c>
      <c r="G221" s="5" t="s">
        <v>33</v>
      </c>
      <c r="H221" s="5">
        <v>398299</v>
      </c>
      <c r="I221">
        <v>833</v>
      </c>
      <c r="J221">
        <v>846947</v>
      </c>
      <c r="K221">
        <v>240</v>
      </c>
      <c r="L221">
        <v>8.17</v>
      </c>
      <c r="M221" t="s">
        <v>57</v>
      </c>
      <c r="N221" t="s">
        <v>51</v>
      </c>
      <c r="O221" t="s">
        <v>39</v>
      </c>
      <c r="P221">
        <v>3817.26</v>
      </c>
      <c r="Q221">
        <v>760167.74</v>
      </c>
      <c r="R221" t="s">
        <v>28</v>
      </c>
      <c r="S221" s="1">
        <v>45549</v>
      </c>
    </row>
    <row r="222" spans="1:19" x14ac:dyDescent="0.25">
      <c r="A222" s="5" t="s">
        <v>481</v>
      </c>
      <c r="B222" s="5" t="s">
        <v>482</v>
      </c>
      <c r="C222" s="5" t="s">
        <v>31</v>
      </c>
      <c r="D222" s="5">
        <v>48</v>
      </c>
      <c r="E222" s="5" t="s">
        <v>22</v>
      </c>
      <c r="F222" s="5" t="s">
        <v>42</v>
      </c>
      <c r="G222" s="5" t="s">
        <v>33</v>
      </c>
      <c r="H222" s="5">
        <v>1484172</v>
      </c>
      <c r="I222">
        <v>605</v>
      </c>
      <c r="J222">
        <v>1880671</v>
      </c>
      <c r="K222">
        <v>84</v>
      </c>
      <c r="L222">
        <v>8.8000000000000007</v>
      </c>
      <c r="M222" t="s">
        <v>5</v>
      </c>
      <c r="N222" t="s">
        <v>38</v>
      </c>
      <c r="O222" t="s">
        <v>39</v>
      </c>
      <c r="P222">
        <v>24359.17</v>
      </c>
      <c r="Q222">
        <v>1322323.47</v>
      </c>
      <c r="R222" t="s">
        <v>28</v>
      </c>
      <c r="S222" s="1">
        <v>45757</v>
      </c>
    </row>
    <row r="223" spans="1:19" x14ac:dyDescent="0.25">
      <c r="A223" s="5" t="s">
        <v>483</v>
      </c>
      <c r="B223" s="5" t="s">
        <v>484</v>
      </c>
      <c r="C223" s="5" t="s">
        <v>21</v>
      </c>
      <c r="D223" s="5">
        <v>47</v>
      </c>
      <c r="E223" s="5" t="s">
        <v>32</v>
      </c>
      <c r="F223" s="5" t="s">
        <v>23</v>
      </c>
      <c r="G223" s="5" t="s">
        <v>24</v>
      </c>
      <c r="H223" s="5">
        <v>1955289</v>
      </c>
      <c r="I223">
        <v>743</v>
      </c>
      <c r="J223">
        <v>1370035</v>
      </c>
      <c r="K223">
        <v>240</v>
      </c>
      <c r="L223">
        <v>13.68</v>
      </c>
      <c r="M223" t="s">
        <v>43</v>
      </c>
      <c r="N223" t="s">
        <v>44</v>
      </c>
      <c r="O223" t="s">
        <v>27</v>
      </c>
      <c r="P223">
        <v>6489.4</v>
      </c>
      <c r="Q223">
        <v>927884.44</v>
      </c>
      <c r="R223" t="s">
        <v>28</v>
      </c>
      <c r="S223" s="1">
        <v>45357</v>
      </c>
    </row>
    <row r="224" spans="1:19" x14ac:dyDescent="0.25">
      <c r="A224" s="5" t="s">
        <v>485</v>
      </c>
      <c r="B224" s="5" t="s">
        <v>486</v>
      </c>
      <c r="C224" s="5" t="s">
        <v>21</v>
      </c>
      <c r="D224" s="5">
        <v>49</v>
      </c>
      <c r="E224" s="5" t="s">
        <v>32</v>
      </c>
      <c r="F224" s="5" t="s">
        <v>42</v>
      </c>
      <c r="G224" s="5" t="s">
        <v>33</v>
      </c>
      <c r="H224" s="5">
        <v>1383534</v>
      </c>
      <c r="I224">
        <v>676</v>
      </c>
      <c r="J224">
        <v>617303</v>
      </c>
      <c r="K224">
        <v>240</v>
      </c>
      <c r="L224">
        <v>10.02</v>
      </c>
      <c r="M224" t="s">
        <v>57</v>
      </c>
      <c r="N224" t="s">
        <v>104</v>
      </c>
      <c r="O224" t="s">
        <v>27</v>
      </c>
      <c r="P224">
        <v>2829.82</v>
      </c>
      <c r="Q224">
        <v>426853.93</v>
      </c>
      <c r="R224" t="s">
        <v>28</v>
      </c>
      <c r="S224" s="1">
        <v>45959</v>
      </c>
    </row>
    <row r="225" spans="1:19" x14ac:dyDescent="0.25">
      <c r="A225" s="5" t="s">
        <v>487</v>
      </c>
      <c r="B225" s="5" t="s">
        <v>488</v>
      </c>
      <c r="C225" s="5" t="s">
        <v>21</v>
      </c>
      <c r="D225" s="5">
        <v>27</v>
      </c>
      <c r="E225" s="5" t="s">
        <v>22</v>
      </c>
      <c r="F225" s="5" t="s">
        <v>42</v>
      </c>
      <c r="G225" s="5" t="s">
        <v>33</v>
      </c>
      <c r="H225" s="5">
        <v>1444490</v>
      </c>
      <c r="I225">
        <v>799</v>
      </c>
      <c r="J225">
        <v>1018918</v>
      </c>
      <c r="K225">
        <v>240</v>
      </c>
      <c r="L225">
        <v>10.35</v>
      </c>
      <c r="M225" t="s">
        <v>43</v>
      </c>
      <c r="N225" t="s">
        <v>104</v>
      </c>
      <c r="O225" t="s">
        <v>27</v>
      </c>
      <c r="P225">
        <v>4684.8999999999996</v>
      </c>
      <c r="Q225">
        <v>121280.83</v>
      </c>
      <c r="R225" t="s">
        <v>28</v>
      </c>
      <c r="S225" s="1">
        <v>45844</v>
      </c>
    </row>
    <row r="226" spans="1:19" x14ac:dyDescent="0.25">
      <c r="A226" s="5" t="s">
        <v>489</v>
      </c>
      <c r="B226" s="5" t="s">
        <v>490</v>
      </c>
      <c r="C226" s="5" t="s">
        <v>21</v>
      </c>
      <c r="D226" s="5">
        <v>40</v>
      </c>
      <c r="E226" s="5" t="s">
        <v>22</v>
      </c>
      <c r="F226" s="5" t="s">
        <v>42</v>
      </c>
      <c r="G226" s="5" t="s">
        <v>24</v>
      </c>
      <c r="H226" s="5">
        <v>1651911</v>
      </c>
      <c r="I226">
        <v>712</v>
      </c>
      <c r="J226">
        <v>575680</v>
      </c>
      <c r="K226">
        <v>60</v>
      </c>
      <c r="L226">
        <v>12.57</v>
      </c>
      <c r="M226" t="s">
        <v>57</v>
      </c>
      <c r="N226" t="s">
        <v>26</v>
      </c>
      <c r="O226" t="s">
        <v>27</v>
      </c>
      <c r="P226">
        <v>10800.72</v>
      </c>
      <c r="Q226">
        <v>350042.08</v>
      </c>
      <c r="R226" t="s">
        <v>28</v>
      </c>
      <c r="S226" s="1">
        <v>45455</v>
      </c>
    </row>
    <row r="227" spans="1:19" x14ac:dyDescent="0.25">
      <c r="A227" s="5" t="s">
        <v>491</v>
      </c>
      <c r="B227" s="5" t="s">
        <v>492</v>
      </c>
      <c r="C227" s="5" t="s">
        <v>31</v>
      </c>
      <c r="D227" s="5">
        <v>41</v>
      </c>
      <c r="E227" s="5" t="s">
        <v>32</v>
      </c>
      <c r="F227" s="5" t="s">
        <v>42</v>
      </c>
      <c r="G227" s="5" t="s">
        <v>33</v>
      </c>
      <c r="H227" s="5">
        <v>253898</v>
      </c>
      <c r="I227">
        <v>711</v>
      </c>
      <c r="J227">
        <v>1249249</v>
      </c>
      <c r="K227">
        <v>36</v>
      </c>
      <c r="L227">
        <v>9.6</v>
      </c>
      <c r="M227" t="s">
        <v>43</v>
      </c>
      <c r="N227" t="s">
        <v>51</v>
      </c>
      <c r="O227" t="s">
        <v>27</v>
      </c>
      <c r="P227">
        <v>38032.69</v>
      </c>
      <c r="Q227">
        <v>361972.24</v>
      </c>
      <c r="R227" t="s">
        <v>28</v>
      </c>
      <c r="S227" s="1">
        <v>45790</v>
      </c>
    </row>
    <row r="228" spans="1:19" x14ac:dyDescent="0.25">
      <c r="A228" s="5" t="s">
        <v>493</v>
      </c>
      <c r="B228" s="5" t="s">
        <v>494</v>
      </c>
      <c r="C228" s="5" t="s">
        <v>31</v>
      </c>
      <c r="D228" s="5">
        <v>58</v>
      </c>
      <c r="E228" s="5" t="s">
        <v>22</v>
      </c>
      <c r="F228" s="5" t="s">
        <v>23</v>
      </c>
      <c r="G228" s="5" t="s">
        <v>24</v>
      </c>
      <c r="H228" s="5">
        <v>590826</v>
      </c>
      <c r="I228">
        <v>665</v>
      </c>
      <c r="J228">
        <v>1205475</v>
      </c>
      <c r="K228">
        <v>48</v>
      </c>
      <c r="L228">
        <v>12.01</v>
      </c>
      <c r="M228" t="s">
        <v>57</v>
      </c>
      <c r="N228" t="s">
        <v>51</v>
      </c>
      <c r="O228" t="s">
        <v>27</v>
      </c>
      <c r="P228">
        <v>28130.26</v>
      </c>
      <c r="Q228">
        <v>805464.12</v>
      </c>
      <c r="R228" t="s">
        <v>28</v>
      </c>
      <c r="S228" s="1">
        <v>45628</v>
      </c>
    </row>
    <row r="229" spans="1:19" x14ac:dyDescent="0.25">
      <c r="A229" s="5" t="s">
        <v>495</v>
      </c>
      <c r="B229" s="5" t="s">
        <v>496</v>
      </c>
      <c r="C229" s="5" t="s">
        <v>21</v>
      </c>
      <c r="D229" s="5">
        <v>40</v>
      </c>
      <c r="E229" s="5" t="s">
        <v>22</v>
      </c>
      <c r="F229" s="5" t="s">
        <v>23</v>
      </c>
      <c r="G229" s="5" t="s">
        <v>33</v>
      </c>
      <c r="H229" s="5">
        <v>504797</v>
      </c>
      <c r="I229">
        <v>823</v>
      </c>
      <c r="J229">
        <v>1214299</v>
      </c>
      <c r="K229">
        <v>48</v>
      </c>
      <c r="L229">
        <v>7.64</v>
      </c>
      <c r="M229" t="s">
        <v>57</v>
      </c>
      <c r="N229" t="s">
        <v>44</v>
      </c>
      <c r="O229" t="s">
        <v>27</v>
      </c>
      <c r="P229">
        <v>27230.66</v>
      </c>
      <c r="Q229">
        <v>1005582.1</v>
      </c>
      <c r="R229" t="s">
        <v>28</v>
      </c>
      <c r="S229" s="1">
        <v>45465</v>
      </c>
    </row>
    <row r="230" spans="1:19" x14ac:dyDescent="0.25">
      <c r="A230" s="5" t="s">
        <v>497</v>
      </c>
      <c r="B230" s="5" t="s">
        <v>498</v>
      </c>
      <c r="C230" s="5" t="s">
        <v>21</v>
      </c>
      <c r="D230" s="5">
        <v>24</v>
      </c>
      <c r="E230" s="5" t="s">
        <v>32</v>
      </c>
      <c r="F230" s="5" t="s">
        <v>23</v>
      </c>
      <c r="G230" s="5" t="s">
        <v>24</v>
      </c>
      <c r="H230" s="5">
        <v>925451</v>
      </c>
      <c r="I230">
        <v>579</v>
      </c>
      <c r="J230">
        <v>1854866</v>
      </c>
      <c r="K230">
        <v>24</v>
      </c>
      <c r="L230">
        <v>13.23</v>
      </c>
      <c r="M230" t="s">
        <v>43</v>
      </c>
      <c r="N230" t="s">
        <v>26</v>
      </c>
      <c r="O230" t="s">
        <v>27</v>
      </c>
      <c r="P230">
        <v>87511.03</v>
      </c>
      <c r="Q230">
        <v>1614472.56</v>
      </c>
      <c r="R230" t="s">
        <v>28</v>
      </c>
      <c r="S230" s="1">
        <v>45566</v>
      </c>
    </row>
    <row r="231" spans="1:19" x14ac:dyDescent="0.25">
      <c r="A231" s="5" t="s">
        <v>499</v>
      </c>
      <c r="B231" s="5" t="s">
        <v>500</v>
      </c>
      <c r="C231" s="5" t="s">
        <v>21</v>
      </c>
      <c r="D231" s="5">
        <v>49</v>
      </c>
      <c r="E231" s="5" t="s">
        <v>22</v>
      </c>
      <c r="F231" s="5" t="s">
        <v>23</v>
      </c>
      <c r="G231" s="5" t="s">
        <v>33</v>
      </c>
      <c r="H231" s="5">
        <v>377932</v>
      </c>
      <c r="I231">
        <v>591</v>
      </c>
      <c r="J231">
        <v>1029560</v>
      </c>
      <c r="K231">
        <v>12</v>
      </c>
      <c r="L231">
        <v>13.25</v>
      </c>
      <c r="M231" t="s">
        <v>5</v>
      </c>
      <c r="N231" t="s">
        <v>34</v>
      </c>
      <c r="O231" t="s">
        <v>39</v>
      </c>
      <c r="P231">
        <v>97164.72</v>
      </c>
      <c r="Q231">
        <v>713272.21</v>
      </c>
      <c r="R231" t="s">
        <v>28</v>
      </c>
      <c r="S231" s="1">
        <v>45296</v>
      </c>
    </row>
    <row r="232" spans="1:19" x14ac:dyDescent="0.25">
      <c r="A232" s="5" t="s">
        <v>501</v>
      </c>
      <c r="B232" s="5" t="s">
        <v>502</v>
      </c>
      <c r="C232" s="5" t="s">
        <v>21</v>
      </c>
      <c r="D232" s="5">
        <v>44</v>
      </c>
      <c r="E232" s="5" t="s">
        <v>22</v>
      </c>
      <c r="F232" s="5" t="s">
        <v>23</v>
      </c>
      <c r="G232" s="5" t="s">
        <v>24</v>
      </c>
      <c r="H232" s="5">
        <v>1900365</v>
      </c>
      <c r="I232">
        <v>588</v>
      </c>
      <c r="J232">
        <v>1771807</v>
      </c>
      <c r="K232">
        <v>240</v>
      </c>
      <c r="L232">
        <v>7.63</v>
      </c>
      <c r="M232" t="s">
        <v>25</v>
      </c>
      <c r="N232" t="s">
        <v>51</v>
      </c>
      <c r="O232" t="s">
        <v>39</v>
      </c>
      <c r="P232">
        <v>7945.82</v>
      </c>
      <c r="Q232">
        <v>1239392.25</v>
      </c>
      <c r="R232" t="s">
        <v>28</v>
      </c>
      <c r="S232" s="1">
        <v>45782</v>
      </c>
    </row>
    <row r="233" spans="1:19" x14ac:dyDescent="0.25">
      <c r="A233" s="5" t="s">
        <v>503</v>
      </c>
      <c r="B233" s="5" t="s">
        <v>504</v>
      </c>
      <c r="C233" s="5" t="s">
        <v>21</v>
      </c>
      <c r="D233" s="5">
        <v>22</v>
      </c>
      <c r="E233" s="5" t="s">
        <v>32</v>
      </c>
      <c r="F233" s="5" t="s">
        <v>42</v>
      </c>
      <c r="G233" s="5" t="s">
        <v>33</v>
      </c>
      <c r="H233" s="5">
        <v>1266824</v>
      </c>
      <c r="I233">
        <v>608</v>
      </c>
      <c r="J233">
        <v>904119</v>
      </c>
      <c r="K233">
        <v>240</v>
      </c>
      <c r="L233">
        <v>12.79</v>
      </c>
      <c r="M233" t="s">
        <v>25</v>
      </c>
      <c r="N233" t="s">
        <v>104</v>
      </c>
      <c r="O233" t="s">
        <v>39</v>
      </c>
      <c r="P233">
        <v>4248.9799999999996</v>
      </c>
      <c r="Q233">
        <v>409362.49</v>
      </c>
      <c r="R233" t="s">
        <v>28</v>
      </c>
      <c r="S233" s="1">
        <v>45874</v>
      </c>
    </row>
    <row r="234" spans="1:19" x14ac:dyDescent="0.25">
      <c r="A234" s="5" t="s">
        <v>505</v>
      </c>
      <c r="B234" s="5" t="s">
        <v>506</v>
      </c>
      <c r="C234" s="5" t="s">
        <v>21</v>
      </c>
      <c r="D234" s="5">
        <v>28</v>
      </c>
      <c r="E234" s="5" t="s">
        <v>32</v>
      </c>
      <c r="F234" s="5" t="s">
        <v>23</v>
      </c>
      <c r="G234" s="5" t="s">
        <v>33</v>
      </c>
      <c r="H234" s="5">
        <v>480184</v>
      </c>
      <c r="I234">
        <v>648</v>
      </c>
      <c r="J234">
        <v>1612932</v>
      </c>
      <c r="K234">
        <v>24</v>
      </c>
      <c r="L234">
        <v>11.17</v>
      </c>
      <c r="M234" t="s">
        <v>5</v>
      </c>
      <c r="N234" t="s">
        <v>38</v>
      </c>
      <c r="O234" t="s">
        <v>27</v>
      </c>
      <c r="P234">
        <v>74712.350000000006</v>
      </c>
      <c r="Q234">
        <v>726681.77</v>
      </c>
      <c r="R234" t="s">
        <v>28</v>
      </c>
      <c r="S234" s="1">
        <v>45857</v>
      </c>
    </row>
    <row r="235" spans="1:19" x14ac:dyDescent="0.25">
      <c r="A235" s="5" t="s">
        <v>507</v>
      </c>
      <c r="B235" s="5" t="s">
        <v>508</v>
      </c>
      <c r="C235" s="5" t="s">
        <v>21</v>
      </c>
      <c r="D235" s="5">
        <v>21</v>
      </c>
      <c r="E235" s="5" t="s">
        <v>22</v>
      </c>
      <c r="F235" s="5" t="s">
        <v>23</v>
      </c>
      <c r="G235" s="5" t="s">
        <v>33</v>
      </c>
      <c r="H235" s="5">
        <v>614946</v>
      </c>
      <c r="I235">
        <v>625</v>
      </c>
      <c r="J235">
        <v>1674644</v>
      </c>
      <c r="K235">
        <v>84</v>
      </c>
      <c r="L235">
        <v>10.130000000000001</v>
      </c>
      <c r="M235" t="s">
        <v>43</v>
      </c>
      <c r="N235" t="s">
        <v>38</v>
      </c>
      <c r="O235" t="s">
        <v>27</v>
      </c>
      <c r="P235">
        <v>21955.78</v>
      </c>
      <c r="Q235">
        <v>380501.09</v>
      </c>
      <c r="R235" t="s">
        <v>28</v>
      </c>
      <c r="S235" s="1">
        <v>45559</v>
      </c>
    </row>
    <row r="236" spans="1:19" x14ac:dyDescent="0.25">
      <c r="A236" s="5" t="s">
        <v>509</v>
      </c>
      <c r="B236" s="5" t="s">
        <v>510</v>
      </c>
      <c r="C236" s="5" t="s">
        <v>21</v>
      </c>
      <c r="D236" s="5">
        <v>50</v>
      </c>
      <c r="E236" s="5" t="s">
        <v>32</v>
      </c>
      <c r="F236" s="5" t="s">
        <v>23</v>
      </c>
      <c r="G236" s="5" t="s">
        <v>24</v>
      </c>
      <c r="H236" s="5">
        <v>608235</v>
      </c>
      <c r="I236">
        <v>800</v>
      </c>
      <c r="J236">
        <v>1714481</v>
      </c>
      <c r="K236">
        <v>120</v>
      </c>
      <c r="L236">
        <v>10.56</v>
      </c>
      <c r="M236" t="s">
        <v>5</v>
      </c>
      <c r="N236" t="s">
        <v>44</v>
      </c>
      <c r="O236" t="s">
        <v>27</v>
      </c>
      <c r="P236">
        <v>15796.08</v>
      </c>
      <c r="Q236">
        <v>1665715.84</v>
      </c>
      <c r="R236" t="s">
        <v>28</v>
      </c>
      <c r="S236" s="1">
        <v>45955</v>
      </c>
    </row>
    <row r="237" spans="1:19" x14ac:dyDescent="0.25">
      <c r="A237" s="5" t="s">
        <v>511</v>
      </c>
      <c r="B237" s="5" t="s">
        <v>512</v>
      </c>
      <c r="C237" s="5" t="s">
        <v>21</v>
      </c>
      <c r="D237" s="5">
        <v>33</v>
      </c>
      <c r="E237" s="5" t="s">
        <v>32</v>
      </c>
      <c r="F237" s="5" t="s">
        <v>42</v>
      </c>
      <c r="G237" s="5" t="s">
        <v>33</v>
      </c>
      <c r="H237" s="5">
        <v>1106135</v>
      </c>
      <c r="I237">
        <v>707</v>
      </c>
      <c r="J237">
        <v>992222</v>
      </c>
      <c r="K237">
        <v>36</v>
      </c>
      <c r="L237">
        <v>14.77</v>
      </c>
      <c r="M237" t="s">
        <v>25</v>
      </c>
      <c r="N237" t="s">
        <v>26</v>
      </c>
      <c r="O237" t="s">
        <v>27</v>
      </c>
      <c r="P237">
        <v>31632.59</v>
      </c>
      <c r="Q237">
        <v>849198.09</v>
      </c>
      <c r="R237" t="s">
        <v>28</v>
      </c>
      <c r="S237" s="1">
        <v>45317</v>
      </c>
    </row>
    <row r="238" spans="1:19" x14ac:dyDescent="0.25">
      <c r="A238" s="5" t="s">
        <v>513</v>
      </c>
      <c r="B238" s="5" t="s">
        <v>514</v>
      </c>
      <c r="C238" s="5" t="s">
        <v>21</v>
      </c>
      <c r="D238" s="5">
        <v>22</v>
      </c>
      <c r="E238" s="5" t="s">
        <v>32</v>
      </c>
      <c r="F238" s="5" t="s">
        <v>42</v>
      </c>
      <c r="G238" s="5" t="s">
        <v>24</v>
      </c>
      <c r="H238" s="5">
        <v>1325811</v>
      </c>
      <c r="I238">
        <v>786</v>
      </c>
      <c r="J238">
        <v>297084</v>
      </c>
      <c r="K238">
        <v>12</v>
      </c>
      <c r="L238">
        <v>7.72</v>
      </c>
      <c r="M238" t="s">
        <v>5</v>
      </c>
      <c r="N238" t="s">
        <v>51</v>
      </c>
      <c r="O238" t="s">
        <v>27</v>
      </c>
      <c r="P238">
        <v>26668.240000000002</v>
      </c>
      <c r="Q238">
        <v>280079.21999999997</v>
      </c>
      <c r="R238" t="s">
        <v>28</v>
      </c>
      <c r="S238" s="1">
        <v>45304</v>
      </c>
    </row>
    <row r="239" spans="1:19" x14ac:dyDescent="0.25">
      <c r="A239" s="5" t="s">
        <v>515</v>
      </c>
      <c r="B239" s="5" t="s">
        <v>516</v>
      </c>
      <c r="C239" s="5" t="s">
        <v>21</v>
      </c>
      <c r="D239" s="5">
        <v>23</v>
      </c>
      <c r="E239" s="5" t="s">
        <v>22</v>
      </c>
      <c r="F239" s="5" t="s">
        <v>42</v>
      </c>
      <c r="G239" s="5" t="s">
        <v>24</v>
      </c>
      <c r="H239" s="5">
        <v>1067657</v>
      </c>
      <c r="I239">
        <v>617</v>
      </c>
      <c r="J239">
        <v>1640284</v>
      </c>
      <c r="K239">
        <v>180</v>
      </c>
      <c r="L239">
        <v>13.52</v>
      </c>
      <c r="M239" t="s">
        <v>54</v>
      </c>
      <c r="N239" t="s">
        <v>51</v>
      </c>
      <c r="O239" t="s">
        <v>27</v>
      </c>
      <c r="P239">
        <v>10344.719999999999</v>
      </c>
      <c r="Q239">
        <v>352061.69</v>
      </c>
      <c r="R239" t="s">
        <v>28</v>
      </c>
      <c r="S239" s="1">
        <v>45479</v>
      </c>
    </row>
    <row r="240" spans="1:19" x14ac:dyDescent="0.25">
      <c r="A240" s="5" t="s">
        <v>517</v>
      </c>
      <c r="B240" s="5" t="s">
        <v>518</v>
      </c>
      <c r="C240" s="5" t="s">
        <v>21</v>
      </c>
      <c r="D240" s="5">
        <v>39</v>
      </c>
      <c r="E240" s="5" t="s">
        <v>32</v>
      </c>
      <c r="F240" s="5" t="s">
        <v>23</v>
      </c>
      <c r="G240" s="5" t="s">
        <v>33</v>
      </c>
      <c r="H240" s="5">
        <v>1622523</v>
      </c>
      <c r="I240">
        <v>554</v>
      </c>
      <c r="J240">
        <v>542989</v>
      </c>
      <c r="K240">
        <v>60</v>
      </c>
      <c r="L240">
        <v>7.61</v>
      </c>
      <c r="M240" t="s">
        <v>57</v>
      </c>
      <c r="N240" t="s">
        <v>44</v>
      </c>
      <c r="O240" t="s">
        <v>27</v>
      </c>
      <c r="P240">
        <v>9738.51</v>
      </c>
      <c r="Q240">
        <v>461286.14</v>
      </c>
      <c r="R240" t="s">
        <v>28</v>
      </c>
      <c r="S240" s="1">
        <v>45817</v>
      </c>
    </row>
    <row r="241" spans="1:19" x14ac:dyDescent="0.25">
      <c r="A241" s="5" t="s">
        <v>519</v>
      </c>
      <c r="B241" s="5" t="s">
        <v>520</v>
      </c>
      <c r="C241" s="5" t="s">
        <v>31</v>
      </c>
      <c r="D241" s="5">
        <v>53</v>
      </c>
      <c r="E241" s="5" t="s">
        <v>32</v>
      </c>
      <c r="F241" s="5" t="s">
        <v>23</v>
      </c>
      <c r="G241" s="5" t="s">
        <v>24</v>
      </c>
      <c r="H241" s="5">
        <v>989851</v>
      </c>
      <c r="I241">
        <v>710</v>
      </c>
      <c r="J241">
        <v>1992331</v>
      </c>
      <c r="K241">
        <v>180</v>
      </c>
      <c r="L241">
        <v>9.07</v>
      </c>
      <c r="M241" t="s">
        <v>57</v>
      </c>
      <c r="N241" t="s">
        <v>104</v>
      </c>
      <c r="O241" t="s">
        <v>27</v>
      </c>
      <c r="P241">
        <v>12072.42</v>
      </c>
      <c r="Q241">
        <v>898803.58</v>
      </c>
      <c r="R241" t="s">
        <v>28</v>
      </c>
      <c r="S241" s="1">
        <v>45559</v>
      </c>
    </row>
    <row r="242" spans="1:19" x14ac:dyDescent="0.25">
      <c r="A242" s="5" t="s">
        <v>521</v>
      </c>
      <c r="B242" s="5" t="s">
        <v>522</v>
      </c>
      <c r="C242" s="5" t="s">
        <v>21</v>
      </c>
      <c r="D242" s="5">
        <v>42</v>
      </c>
      <c r="E242" s="5" t="s">
        <v>32</v>
      </c>
      <c r="F242" s="5" t="s">
        <v>42</v>
      </c>
      <c r="G242" s="5" t="s">
        <v>33</v>
      </c>
      <c r="H242" s="5">
        <v>1571240</v>
      </c>
      <c r="I242">
        <v>608</v>
      </c>
      <c r="J242">
        <v>1198493</v>
      </c>
      <c r="K242">
        <v>84</v>
      </c>
      <c r="L242">
        <v>10.41</v>
      </c>
      <c r="M242" t="s">
        <v>25</v>
      </c>
      <c r="N242" t="s">
        <v>51</v>
      </c>
      <c r="O242" t="s">
        <v>39</v>
      </c>
      <c r="P242">
        <v>15753.05</v>
      </c>
      <c r="Q242">
        <v>424136.54</v>
      </c>
      <c r="R242" t="s">
        <v>28</v>
      </c>
      <c r="S242" s="1">
        <v>45843</v>
      </c>
    </row>
    <row r="243" spans="1:19" x14ac:dyDescent="0.25">
      <c r="A243" s="5" t="s">
        <v>523</v>
      </c>
      <c r="B243" s="5" t="s">
        <v>524</v>
      </c>
      <c r="C243" s="5" t="s">
        <v>31</v>
      </c>
      <c r="D243" s="5">
        <v>59</v>
      </c>
      <c r="E243" s="5" t="s">
        <v>22</v>
      </c>
      <c r="F243" s="5" t="s">
        <v>42</v>
      </c>
      <c r="G243" s="5" t="s">
        <v>33</v>
      </c>
      <c r="H243" s="5">
        <v>1291214</v>
      </c>
      <c r="I243">
        <v>613</v>
      </c>
      <c r="J243">
        <v>306236</v>
      </c>
      <c r="K243">
        <v>48</v>
      </c>
      <c r="L243">
        <v>9.27</v>
      </c>
      <c r="M243" t="s">
        <v>5</v>
      </c>
      <c r="N243" t="s">
        <v>44</v>
      </c>
      <c r="O243" t="s">
        <v>27</v>
      </c>
      <c r="P243">
        <v>6971.33</v>
      </c>
      <c r="Q243">
        <v>116625.31</v>
      </c>
      <c r="R243" t="s">
        <v>28</v>
      </c>
      <c r="S243" s="1">
        <v>45982</v>
      </c>
    </row>
    <row r="244" spans="1:19" x14ac:dyDescent="0.25">
      <c r="A244" s="5" t="s">
        <v>525</v>
      </c>
      <c r="B244" s="5" t="s">
        <v>526</v>
      </c>
      <c r="C244" s="5" t="s">
        <v>21</v>
      </c>
      <c r="D244" s="5">
        <v>27</v>
      </c>
      <c r="E244" s="5" t="s">
        <v>32</v>
      </c>
      <c r="F244" s="5" t="s">
        <v>23</v>
      </c>
      <c r="G244" s="5" t="s">
        <v>24</v>
      </c>
      <c r="H244" s="5">
        <v>742326</v>
      </c>
      <c r="I244">
        <v>700</v>
      </c>
      <c r="J244">
        <v>1761069</v>
      </c>
      <c r="K244">
        <v>60</v>
      </c>
      <c r="L244">
        <v>13.83</v>
      </c>
      <c r="M244" t="s">
        <v>25</v>
      </c>
      <c r="N244" t="s">
        <v>26</v>
      </c>
      <c r="O244" t="s">
        <v>27</v>
      </c>
      <c r="P244">
        <v>33410.410000000003</v>
      </c>
      <c r="Q244">
        <v>1105610.75</v>
      </c>
      <c r="R244" t="s">
        <v>28</v>
      </c>
      <c r="S244" s="1">
        <v>45442</v>
      </c>
    </row>
    <row r="245" spans="1:19" x14ac:dyDescent="0.25">
      <c r="A245" s="5" t="s">
        <v>527</v>
      </c>
      <c r="B245" s="5" t="s">
        <v>528</v>
      </c>
      <c r="C245" s="5" t="s">
        <v>21</v>
      </c>
      <c r="D245" s="5">
        <v>58</v>
      </c>
      <c r="E245" s="5" t="s">
        <v>32</v>
      </c>
      <c r="F245" s="5" t="s">
        <v>42</v>
      </c>
      <c r="G245" s="5" t="s">
        <v>24</v>
      </c>
      <c r="H245" s="5">
        <v>1448318</v>
      </c>
      <c r="I245">
        <v>826</v>
      </c>
      <c r="J245">
        <v>1407761</v>
      </c>
      <c r="K245">
        <v>48</v>
      </c>
      <c r="L245">
        <v>8.52</v>
      </c>
      <c r="M245" t="s">
        <v>43</v>
      </c>
      <c r="N245" t="s">
        <v>44</v>
      </c>
      <c r="O245" t="s">
        <v>27</v>
      </c>
      <c r="P245">
        <v>31827.13</v>
      </c>
      <c r="Q245">
        <v>259164.09</v>
      </c>
      <c r="R245" t="s">
        <v>28</v>
      </c>
      <c r="S245" s="1">
        <v>45965</v>
      </c>
    </row>
    <row r="246" spans="1:19" x14ac:dyDescent="0.25">
      <c r="A246" s="5" t="s">
        <v>529</v>
      </c>
      <c r="B246" s="5" t="s">
        <v>530</v>
      </c>
      <c r="C246" s="5" t="s">
        <v>31</v>
      </c>
      <c r="D246" s="5">
        <v>55</v>
      </c>
      <c r="E246" s="5" t="s">
        <v>22</v>
      </c>
      <c r="F246" s="5" t="s">
        <v>42</v>
      </c>
      <c r="G246" s="5" t="s">
        <v>24</v>
      </c>
      <c r="H246" s="5">
        <v>812537</v>
      </c>
      <c r="I246">
        <v>608</v>
      </c>
      <c r="J246">
        <v>1591977</v>
      </c>
      <c r="K246">
        <v>12</v>
      </c>
      <c r="L246">
        <v>12.33</v>
      </c>
      <c r="M246" t="s">
        <v>54</v>
      </c>
      <c r="N246" t="s">
        <v>51</v>
      </c>
      <c r="O246" t="s">
        <v>27</v>
      </c>
      <c r="P246">
        <v>149022.31</v>
      </c>
      <c r="Q246">
        <v>167106.39000000001</v>
      </c>
      <c r="R246" t="s">
        <v>28</v>
      </c>
      <c r="S246" s="1">
        <v>45296</v>
      </c>
    </row>
    <row r="247" spans="1:19" x14ac:dyDescent="0.25">
      <c r="A247" s="5" t="s">
        <v>531</v>
      </c>
      <c r="B247" s="5" t="s">
        <v>532</v>
      </c>
      <c r="C247" s="5" t="s">
        <v>21</v>
      </c>
      <c r="D247" s="5">
        <v>32</v>
      </c>
      <c r="E247" s="5" t="s">
        <v>22</v>
      </c>
      <c r="F247" s="5" t="s">
        <v>23</v>
      </c>
      <c r="G247" s="5" t="s">
        <v>33</v>
      </c>
      <c r="H247" s="5">
        <v>1314396</v>
      </c>
      <c r="I247">
        <v>692</v>
      </c>
      <c r="J247">
        <v>314100</v>
      </c>
      <c r="K247">
        <v>120</v>
      </c>
      <c r="L247">
        <v>7.53</v>
      </c>
      <c r="M247" t="s">
        <v>43</v>
      </c>
      <c r="N247" t="s">
        <v>44</v>
      </c>
      <c r="O247" t="s">
        <v>27</v>
      </c>
      <c r="P247">
        <v>2814.6</v>
      </c>
      <c r="Q247">
        <v>56203.8</v>
      </c>
      <c r="R247" t="s">
        <v>28</v>
      </c>
      <c r="S247" s="1">
        <v>45524</v>
      </c>
    </row>
    <row r="248" spans="1:19" x14ac:dyDescent="0.25">
      <c r="A248" s="5" t="s">
        <v>533</v>
      </c>
      <c r="B248" s="5" t="s">
        <v>534</v>
      </c>
      <c r="C248" s="5" t="s">
        <v>21</v>
      </c>
      <c r="D248" s="5">
        <v>37</v>
      </c>
      <c r="E248" s="5" t="s">
        <v>22</v>
      </c>
      <c r="F248" s="5" t="s">
        <v>23</v>
      </c>
      <c r="G248" s="5" t="s">
        <v>24</v>
      </c>
      <c r="H248" s="5">
        <v>1908676</v>
      </c>
      <c r="I248">
        <v>727</v>
      </c>
      <c r="J248">
        <v>1927900</v>
      </c>
      <c r="K248">
        <v>48</v>
      </c>
      <c r="L248">
        <v>12.85</v>
      </c>
      <c r="M248" t="s">
        <v>5</v>
      </c>
      <c r="N248" t="s">
        <v>34</v>
      </c>
      <c r="O248" t="s">
        <v>27</v>
      </c>
      <c r="P248">
        <v>45325.73</v>
      </c>
      <c r="Q248">
        <v>1876937.58</v>
      </c>
      <c r="R248" t="s">
        <v>28</v>
      </c>
      <c r="S248" s="1">
        <v>45844</v>
      </c>
    </row>
    <row r="249" spans="1:19" x14ac:dyDescent="0.25">
      <c r="A249" s="5" t="s">
        <v>535</v>
      </c>
      <c r="B249" s="5" t="s">
        <v>536</v>
      </c>
      <c r="C249" s="5" t="s">
        <v>21</v>
      </c>
      <c r="D249" s="5">
        <v>53</v>
      </c>
      <c r="E249" s="5" t="s">
        <v>32</v>
      </c>
      <c r="F249" s="5" t="s">
        <v>42</v>
      </c>
      <c r="G249" s="5" t="s">
        <v>33</v>
      </c>
      <c r="H249" s="5">
        <v>420157</v>
      </c>
      <c r="I249">
        <v>689</v>
      </c>
      <c r="J249">
        <v>641784</v>
      </c>
      <c r="K249">
        <v>60</v>
      </c>
      <c r="L249">
        <v>11.51</v>
      </c>
      <c r="M249" t="s">
        <v>54</v>
      </c>
      <c r="N249" t="s">
        <v>26</v>
      </c>
      <c r="O249" t="s">
        <v>27</v>
      </c>
      <c r="P249">
        <v>11927.56</v>
      </c>
      <c r="Q249">
        <v>614882.13</v>
      </c>
      <c r="R249" t="s">
        <v>28</v>
      </c>
      <c r="S249" s="1">
        <v>45986</v>
      </c>
    </row>
    <row r="250" spans="1:19" x14ac:dyDescent="0.25">
      <c r="A250" s="5" t="s">
        <v>537</v>
      </c>
      <c r="B250" s="5" t="s">
        <v>538</v>
      </c>
      <c r="C250" s="5" t="s">
        <v>31</v>
      </c>
      <c r="D250" s="5">
        <v>36</v>
      </c>
      <c r="E250" s="5" t="s">
        <v>22</v>
      </c>
      <c r="F250" s="5" t="s">
        <v>42</v>
      </c>
      <c r="G250" s="5" t="s">
        <v>33</v>
      </c>
      <c r="H250" s="5">
        <v>472875</v>
      </c>
      <c r="I250">
        <v>787</v>
      </c>
      <c r="J250">
        <v>1575166</v>
      </c>
      <c r="K250">
        <v>240</v>
      </c>
      <c r="L250">
        <v>7.54</v>
      </c>
      <c r="M250" t="s">
        <v>43</v>
      </c>
      <c r="N250" t="s">
        <v>26</v>
      </c>
      <c r="O250" t="s">
        <v>27</v>
      </c>
      <c r="P250">
        <v>7058.06</v>
      </c>
      <c r="Q250">
        <v>261393.24</v>
      </c>
      <c r="R250" t="s">
        <v>28</v>
      </c>
      <c r="S250" s="1">
        <v>45672</v>
      </c>
    </row>
    <row r="251" spans="1:19" x14ac:dyDescent="0.25">
      <c r="A251" s="5" t="s">
        <v>539</v>
      </c>
      <c r="B251" s="5" t="s">
        <v>540</v>
      </c>
      <c r="C251" s="5" t="s">
        <v>21</v>
      </c>
      <c r="D251" s="5">
        <v>51</v>
      </c>
      <c r="E251" s="5" t="s">
        <v>32</v>
      </c>
      <c r="F251" s="5" t="s">
        <v>23</v>
      </c>
      <c r="G251" s="5" t="s">
        <v>33</v>
      </c>
      <c r="H251" s="5">
        <v>1429564</v>
      </c>
      <c r="I251">
        <v>662</v>
      </c>
      <c r="J251">
        <v>586527</v>
      </c>
      <c r="K251">
        <v>60</v>
      </c>
      <c r="L251">
        <v>12.14</v>
      </c>
      <c r="M251" t="s">
        <v>5</v>
      </c>
      <c r="N251" t="s">
        <v>38</v>
      </c>
      <c r="O251" t="s">
        <v>27</v>
      </c>
      <c r="P251">
        <v>10962.19</v>
      </c>
      <c r="Q251">
        <v>493200.28</v>
      </c>
      <c r="R251" t="s">
        <v>28</v>
      </c>
      <c r="S251" s="1">
        <v>45909</v>
      </c>
    </row>
    <row r="252" spans="1:19" x14ac:dyDescent="0.25">
      <c r="A252" s="5" t="s">
        <v>541</v>
      </c>
      <c r="B252" s="5" t="s">
        <v>542</v>
      </c>
      <c r="C252" s="5" t="s">
        <v>31</v>
      </c>
      <c r="D252" s="5">
        <v>34</v>
      </c>
      <c r="E252" s="5" t="s">
        <v>22</v>
      </c>
      <c r="F252" s="5" t="s">
        <v>42</v>
      </c>
      <c r="G252" s="5" t="s">
        <v>33</v>
      </c>
      <c r="H252" s="5">
        <v>1166640</v>
      </c>
      <c r="I252">
        <v>699</v>
      </c>
      <c r="J252">
        <v>708348</v>
      </c>
      <c r="K252">
        <v>84</v>
      </c>
      <c r="L252">
        <v>13.43</v>
      </c>
      <c r="M252" t="s">
        <v>57</v>
      </c>
      <c r="N252" t="s">
        <v>51</v>
      </c>
      <c r="O252" t="s">
        <v>27</v>
      </c>
      <c r="P252">
        <v>9565.23</v>
      </c>
      <c r="Q252">
        <v>585561.53</v>
      </c>
      <c r="R252" t="s">
        <v>28</v>
      </c>
      <c r="S252" s="1">
        <v>45858</v>
      </c>
    </row>
    <row r="253" spans="1:19" x14ac:dyDescent="0.25">
      <c r="A253" s="5" t="s">
        <v>543</v>
      </c>
      <c r="B253" s="5" t="s">
        <v>544</v>
      </c>
      <c r="C253" s="5" t="s">
        <v>31</v>
      </c>
      <c r="D253" s="5">
        <v>25</v>
      </c>
      <c r="E253" s="5" t="s">
        <v>22</v>
      </c>
      <c r="F253" s="5" t="s">
        <v>42</v>
      </c>
      <c r="G253" s="5" t="s">
        <v>33</v>
      </c>
      <c r="H253" s="5">
        <v>1800013</v>
      </c>
      <c r="I253">
        <v>789</v>
      </c>
      <c r="J253">
        <v>1783470</v>
      </c>
      <c r="K253">
        <v>60</v>
      </c>
      <c r="L253">
        <v>10.199999999999999</v>
      </c>
      <c r="M253" t="s">
        <v>25</v>
      </c>
      <c r="N253" t="s">
        <v>38</v>
      </c>
      <c r="O253" t="s">
        <v>27</v>
      </c>
      <c r="P253">
        <v>32756.400000000001</v>
      </c>
      <c r="Q253">
        <v>741149.54</v>
      </c>
      <c r="R253" t="s">
        <v>28</v>
      </c>
      <c r="S253" s="1">
        <v>45569</v>
      </c>
    </row>
    <row r="254" spans="1:19" x14ac:dyDescent="0.25">
      <c r="A254" s="5" t="s">
        <v>545</v>
      </c>
      <c r="B254" s="5" t="s">
        <v>546</v>
      </c>
      <c r="C254" s="5" t="s">
        <v>31</v>
      </c>
      <c r="D254" s="5">
        <v>59</v>
      </c>
      <c r="E254" s="5" t="s">
        <v>22</v>
      </c>
      <c r="F254" s="5" t="s">
        <v>23</v>
      </c>
      <c r="G254" s="5" t="s">
        <v>24</v>
      </c>
      <c r="H254" s="5">
        <v>1487929</v>
      </c>
      <c r="I254">
        <v>630</v>
      </c>
      <c r="J254">
        <v>1468570</v>
      </c>
      <c r="K254">
        <v>60</v>
      </c>
      <c r="L254">
        <v>12.76</v>
      </c>
      <c r="M254" t="s">
        <v>25</v>
      </c>
      <c r="N254" t="s">
        <v>34</v>
      </c>
      <c r="O254" t="s">
        <v>39</v>
      </c>
      <c r="P254">
        <v>27599.33</v>
      </c>
      <c r="Q254">
        <v>1164086.0900000001</v>
      </c>
      <c r="R254" t="s">
        <v>28</v>
      </c>
      <c r="S254" s="1">
        <v>45659</v>
      </c>
    </row>
    <row r="255" spans="1:19" x14ac:dyDescent="0.25">
      <c r="A255" s="5" t="s">
        <v>547</v>
      </c>
      <c r="B255" s="5" t="s">
        <v>548</v>
      </c>
      <c r="C255" s="5" t="s">
        <v>21</v>
      </c>
      <c r="D255" s="5">
        <v>45</v>
      </c>
      <c r="E255" s="5" t="s">
        <v>32</v>
      </c>
      <c r="F255" s="5" t="s">
        <v>23</v>
      </c>
      <c r="G255" s="5" t="s">
        <v>24</v>
      </c>
      <c r="H255" s="5">
        <v>1429225</v>
      </c>
      <c r="I255">
        <v>749</v>
      </c>
      <c r="J255">
        <v>547086</v>
      </c>
      <c r="K255">
        <v>36</v>
      </c>
      <c r="L255">
        <v>8.7100000000000009</v>
      </c>
      <c r="M255" t="s">
        <v>25</v>
      </c>
      <c r="N255" t="s">
        <v>51</v>
      </c>
      <c r="O255" t="s">
        <v>27</v>
      </c>
      <c r="P255">
        <v>16520.48</v>
      </c>
      <c r="Q255">
        <v>372575.53</v>
      </c>
      <c r="R255" t="s">
        <v>28</v>
      </c>
      <c r="S255" s="1">
        <v>45790</v>
      </c>
    </row>
    <row r="256" spans="1:19" x14ac:dyDescent="0.25">
      <c r="A256" s="5" t="s">
        <v>549</v>
      </c>
      <c r="B256" s="5" t="s">
        <v>550</v>
      </c>
      <c r="C256" s="5" t="s">
        <v>21</v>
      </c>
      <c r="D256" s="5">
        <v>28</v>
      </c>
      <c r="E256" s="5" t="s">
        <v>32</v>
      </c>
      <c r="F256" s="5" t="s">
        <v>23</v>
      </c>
      <c r="G256" s="5" t="s">
        <v>33</v>
      </c>
      <c r="H256" s="5">
        <v>565146</v>
      </c>
      <c r="I256">
        <v>581</v>
      </c>
      <c r="J256">
        <v>1933803</v>
      </c>
      <c r="K256">
        <v>180</v>
      </c>
      <c r="L256">
        <v>14.45</v>
      </c>
      <c r="M256" t="s">
        <v>25</v>
      </c>
      <c r="N256" t="s">
        <v>26</v>
      </c>
      <c r="O256" t="s">
        <v>39</v>
      </c>
      <c r="P256">
        <v>12295.76</v>
      </c>
      <c r="Q256">
        <v>1397690.44</v>
      </c>
      <c r="R256" t="s">
        <v>28</v>
      </c>
      <c r="S256" s="1">
        <v>45468</v>
      </c>
    </row>
    <row r="257" spans="1:19" x14ac:dyDescent="0.25">
      <c r="A257" s="5" t="s">
        <v>551</v>
      </c>
      <c r="B257" s="5" t="s">
        <v>552</v>
      </c>
      <c r="C257" s="5" t="s">
        <v>31</v>
      </c>
      <c r="D257" s="5">
        <v>50</v>
      </c>
      <c r="E257" s="5" t="s">
        <v>22</v>
      </c>
      <c r="F257" s="5" t="s">
        <v>42</v>
      </c>
      <c r="G257" s="5" t="s">
        <v>33</v>
      </c>
      <c r="H257" s="5">
        <v>1218099</v>
      </c>
      <c r="I257">
        <v>632</v>
      </c>
      <c r="J257">
        <v>1587200</v>
      </c>
      <c r="K257">
        <v>180</v>
      </c>
      <c r="L257">
        <v>9.99</v>
      </c>
      <c r="M257" t="s">
        <v>43</v>
      </c>
      <c r="N257" t="s">
        <v>26</v>
      </c>
      <c r="O257" t="s">
        <v>27</v>
      </c>
      <c r="P257">
        <v>9698.67</v>
      </c>
      <c r="Q257">
        <v>662697.02</v>
      </c>
      <c r="R257" t="s">
        <v>28</v>
      </c>
      <c r="S257" s="1">
        <v>45456</v>
      </c>
    </row>
    <row r="258" spans="1:19" x14ac:dyDescent="0.25">
      <c r="A258" s="5" t="s">
        <v>553</v>
      </c>
      <c r="B258" s="5" t="s">
        <v>554</v>
      </c>
      <c r="C258" s="5" t="s">
        <v>31</v>
      </c>
      <c r="D258" s="5">
        <v>39</v>
      </c>
      <c r="E258" s="5" t="s">
        <v>22</v>
      </c>
      <c r="F258" s="5" t="s">
        <v>23</v>
      </c>
      <c r="G258" s="5" t="s">
        <v>24</v>
      </c>
      <c r="H258" s="5">
        <v>1417861</v>
      </c>
      <c r="I258">
        <v>736</v>
      </c>
      <c r="J258">
        <v>500406</v>
      </c>
      <c r="K258">
        <v>60</v>
      </c>
      <c r="L258">
        <v>10.84</v>
      </c>
      <c r="M258" t="s">
        <v>25</v>
      </c>
      <c r="N258" t="s">
        <v>44</v>
      </c>
      <c r="O258" t="s">
        <v>27</v>
      </c>
      <c r="P258">
        <v>9244.17</v>
      </c>
      <c r="Q258">
        <v>151990.20000000001</v>
      </c>
      <c r="R258" t="s">
        <v>28</v>
      </c>
      <c r="S258" s="1">
        <v>45541</v>
      </c>
    </row>
    <row r="259" spans="1:19" x14ac:dyDescent="0.25">
      <c r="A259" s="5" t="s">
        <v>555</v>
      </c>
      <c r="B259" s="5" t="s">
        <v>556</v>
      </c>
      <c r="C259" s="5" t="s">
        <v>21</v>
      </c>
      <c r="D259" s="5">
        <v>32</v>
      </c>
      <c r="E259" s="5" t="s">
        <v>32</v>
      </c>
      <c r="F259" s="5" t="s">
        <v>42</v>
      </c>
      <c r="G259" s="5" t="s">
        <v>24</v>
      </c>
      <c r="H259" s="5">
        <v>1502606</v>
      </c>
      <c r="I259">
        <v>658</v>
      </c>
      <c r="J259">
        <v>894312</v>
      </c>
      <c r="K259">
        <v>36</v>
      </c>
      <c r="L259">
        <v>7.7</v>
      </c>
      <c r="M259" t="s">
        <v>5</v>
      </c>
      <c r="N259" t="s">
        <v>104</v>
      </c>
      <c r="O259" t="s">
        <v>27</v>
      </c>
      <c r="P259">
        <v>26754.83</v>
      </c>
      <c r="Q259">
        <v>195143.83</v>
      </c>
      <c r="R259" t="s">
        <v>28</v>
      </c>
      <c r="S259" s="1">
        <v>45627</v>
      </c>
    </row>
    <row r="260" spans="1:19" x14ac:dyDescent="0.25">
      <c r="A260" s="5" t="s">
        <v>557</v>
      </c>
      <c r="B260" s="5" t="s">
        <v>558</v>
      </c>
      <c r="C260" s="5" t="s">
        <v>31</v>
      </c>
      <c r="D260" s="5">
        <v>51</v>
      </c>
      <c r="E260" s="5" t="s">
        <v>32</v>
      </c>
      <c r="F260" s="5" t="s">
        <v>42</v>
      </c>
      <c r="G260" s="5" t="s">
        <v>24</v>
      </c>
      <c r="H260" s="5">
        <v>440047</v>
      </c>
      <c r="I260">
        <v>721</v>
      </c>
      <c r="J260">
        <v>1373614</v>
      </c>
      <c r="K260">
        <v>48</v>
      </c>
      <c r="L260">
        <v>7.96</v>
      </c>
      <c r="M260" t="s">
        <v>5</v>
      </c>
      <c r="N260" t="s">
        <v>34</v>
      </c>
      <c r="O260" t="s">
        <v>27</v>
      </c>
      <c r="P260">
        <v>30894.87</v>
      </c>
      <c r="Q260">
        <v>645789.63</v>
      </c>
      <c r="R260" t="s">
        <v>28</v>
      </c>
      <c r="S260" s="1">
        <v>45734</v>
      </c>
    </row>
    <row r="261" spans="1:19" x14ac:dyDescent="0.25">
      <c r="A261" s="5" t="s">
        <v>559</v>
      </c>
      <c r="B261" s="5" t="s">
        <v>560</v>
      </c>
      <c r="C261" s="5" t="s">
        <v>31</v>
      </c>
      <c r="D261" s="5">
        <v>34</v>
      </c>
      <c r="E261" s="5" t="s">
        <v>32</v>
      </c>
      <c r="F261" s="5" t="s">
        <v>23</v>
      </c>
      <c r="G261" s="5" t="s">
        <v>33</v>
      </c>
      <c r="H261" s="5">
        <v>361857</v>
      </c>
      <c r="I261">
        <v>759</v>
      </c>
      <c r="J261">
        <v>1738525</v>
      </c>
      <c r="K261">
        <v>84</v>
      </c>
      <c r="L261">
        <v>10.43</v>
      </c>
      <c r="M261" t="s">
        <v>5</v>
      </c>
      <c r="N261" t="s">
        <v>38</v>
      </c>
      <c r="O261" t="s">
        <v>27</v>
      </c>
      <c r="P261">
        <v>22855.39</v>
      </c>
      <c r="Q261">
        <v>1168511.4099999999</v>
      </c>
      <c r="R261" t="s">
        <v>28</v>
      </c>
      <c r="S261" s="1">
        <v>45350</v>
      </c>
    </row>
    <row r="262" spans="1:19" x14ac:dyDescent="0.25">
      <c r="A262" s="5" t="s">
        <v>561</v>
      </c>
      <c r="B262" s="5" t="s">
        <v>562</v>
      </c>
      <c r="C262" s="5" t="s">
        <v>31</v>
      </c>
      <c r="D262" s="5">
        <v>46</v>
      </c>
      <c r="E262" s="5" t="s">
        <v>22</v>
      </c>
      <c r="F262" s="5" t="s">
        <v>23</v>
      </c>
      <c r="G262" s="5" t="s">
        <v>24</v>
      </c>
      <c r="H262" s="5">
        <v>709899</v>
      </c>
      <c r="I262">
        <v>783</v>
      </c>
      <c r="J262">
        <v>1726270</v>
      </c>
      <c r="K262">
        <v>180</v>
      </c>
      <c r="L262">
        <v>8.36</v>
      </c>
      <c r="M262" t="s">
        <v>43</v>
      </c>
      <c r="N262" t="s">
        <v>38</v>
      </c>
      <c r="O262" t="s">
        <v>27</v>
      </c>
      <c r="P262">
        <v>10392.15</v>
      </c>
      <c r="Q262">
        <v>1568552.3</v>
      </c>
      <c r="R262" t="s">
        <v>28</v>
      </c>
      <c r="S262" s="1">
        <v>45365</v>
      </c>
    </row>
    <row r="263" spans="1:19" x14ac:dyDescent="0.25">
      <c r="A263" s="5" t="s">
        <v>563</v>
      </c>
      <c r="B263" s="5" t="s">
        <v>564</v>
      </c>
      <c r="C263" s="5" t="s">
        <v>21</v>
      </c>
      <c r="D263" s="5">
        <v>54</v>
      </c>
      <c r="E263" s="5" t="s">
        <v>22</v>
      </c>
      <c r="F263" s="5" t="s">
        <v>42</v>
      </c>
      <c r="G263" s="5" t="s">
        <v>33</v>
      </c>
      <c r="H263" s="5">
        <v>516357</v>
      </c>
      <c r="I263">
        <v>595</v>
      </c>
      <c r="J263">
        <v>248987</v>
      </c>
      <c r="K263">
        <v>48</v>
      </c>
      <c r="L263">
        <v>14.85</v>
      </c>
      <c r="M263" t="s">
        <v>25</v>
      </c>
      <c r="N263" t="s">
        <v>51</v>
      </c>
      <c r="O263" t="s">
        <v>39</v>
      </c>
      <c r="P263">
        <v>5957.53</v>
      </c>
      <c r="Q263">
        <v>105667.12</v>
      </c>
      <c r="R263" t="s">
        <v>28</v>
      </c>
      <c r="S263" s="1">
        <v>45440</v>
      </c>
    </row>
    <row r="264" spans="1:19" x14ac:dyDescent="0.25">
      <c r="A264" s="5" t="s">
        <v>565</v>
      </c>
      <c r="B264" s="5" t="s">
        <v>566</v>
      </c>
      <c r="C264" s="5" t="s">
        <v>31</v>
      </c>
      <c r="D264" s="5">
        <v>56</v>
      </c>
      <c r="E264" s="5" t="s">
        <v>32</v>
      </c>
      <c r="F264" s="5" t="s">
        <v>42</v>
      </c>
      <c r="G264" s="5" t="s">
        <v>24</v>
      </c>
      <c r="H264" s="5">
        <v>1247500</v>
      </c>
      <c r="I264">
        <v>681</v>
      </c>
      <c r="J264">
        <v>1625358</v>
      </c>
      <c r="K264">
        <v>180</v>
      </c>
      <c r="L264">
        <v>15.14</v>
      </c>
      <c r="M264" t="s">
        <v>25</v>
      </c>
      <c r="N264" t="s">
        <v>104</v>
      </c>
      <c r="O264" t="s">
        <v>27</v>
      </c>
      <c r="P264">
        <v>10396.870000000001</v>
      </c>
      <c r="Q264">
        <v>342929.79</v>
      </c>
      <c r="R264" t="s">
        <v>28</v>
      </c>
      <c r="S264" s="1">
        <v>45418</v>
      </c>
    </row>
    <row r="265" spans="1:19" x14ac:dyDescent="0.25">
      <c r="A265" s="5" t="s">
        <v>567</v>
      </c>
      <c r="B265" s="5" t="s">
        <v>568</v>
      </c>
      <c r="C265" s="5" t="s">
        <v>21</v>
      </c>
      <c r="D265" s="5">
        <v>46</v>
      </c>
      <c r="E265" s="5" t="s">
        <v>32</v>
      </c>
      <c r="F265" s="5" t="s">
        <v>42</v>
      </c>
      <c r="G265" s="5" t="s">
        <v>33</v>
      </c>
      <c r="H265" s="5">
        <v>1301701</v>
      </c>
      <c r="I265">
        <v>813</v>
      </c>
      <c r="J265">
        <v>788242</v>
      </c>
      <c r="K265">
        <v>60</v>
      </c>
      <c r="L265">
        <v>8.82</v>
      </c>
      <c r="M265" t="s">
        <v>25</v>
      </c>
      <c r="N265" t="s">
        <v>51</v>
      </c>
      <c r="O265" t="s">
        <v>27</v>
      </c>
      <c r="P265">
        <v>14296.08</v>
      </c>
      <c r="Q265">
        <v>461424.87</v>
      </c>
      <c r="R265" t="s">
        <v>28</v>
      </c>
      <c r="S265" s="1">
        <v>45590</v>
      </c>
    </row>
    <row r="266" spans="1:19" x14ac:dyDescent="0.25">
      <c r="A266" s="5" t="s">
        <v>569</v>
      </c>
      <c r="B266" s="5" t="s">
        <v>570</v>
      </c>
      <c r="C266" s="5" t="s">
        <v>21</v>
      </c>
      <c r="D266" s="5">
        <v>53</v>
      </c>
      <c r="E266" s="5" t="s">
        <v>32</v>
      </c>
      <c r="F266" s="5" t="s">
        <v>42</v>
      </c>
      <c r="G266" s="5" t="s">
        <v>24</v>
      </c>
      <c r="H266" s="5">
        <v>1011153</v>
      </c>
      <c r="I266">
        <v>812</v>
      </c>
      <c r="J266">
        <v>1367714</v>
      </c>
      <c r="K266">
        <v>24</v>
      </c>
      <c r="L266">
        <v>13.98</v>
      </c>
      <c r="M266" t="s">
        <v>25</v>
      </c>
      <c r="N266" t="s">
        <v>26</v>
      </c>
      <c r="O266" t="s">
        <v>27</v>
      </c>
      <c r="P266">
        <v>64955.02</v>
      </c>
      <c r="Q266">
        <v>466860.38</v>
      </c>
      <c r="R266" t="s">
        <v>28</v>
      </c>
      <c r="S266" s="1">
        <v>45640</v>
      </c>
    </row>
    <row r="267" spans="1:19" x14ac:dyDescent="0.25">
      <c r="A267" s="5" t="s">
        <v>571</v>
      </c>
      <c r="B267" s="5" t="s">
        <v>572</v>
      </c>
      <c r="C267" s="5" t="s">
        <v>31</v>
      </c>
      <c r="D267" s="5">
        <v>28</v>
      </c>
      <c r="E267" s="5" t="s">
        <v>32</v>
      </c>
      <c r="F267" s="5" t="s">
        <v>42</v>
      </c>
      <c r="G267" s="5" t="s">
        <v>33</v>
      </c>
      <c r="H267" s="5">
        <v>617314</v>
      </c>
      <c r="I267">
        <v>838</v>
      </c>
      <c r="J267">
        <v>1577876</v>
      </c>
      <c r="K267">
        <v>24</v>
      </c>
      <c r="L267">
        <v>8.66</v>
      </c>
      <c r="M267" t="s">
        <v>5</v>
      </c>
      <c r="N267" t="s">
        <v>38</v>
      </c>
      <c r="O267" t="s">
        <v>27</v>
      </c>
      <c r="P267">
        <v>71438.34</v>
      </c>
      <c r="Q267">
        <v>1547479.47</v>
      </c>
      <c r="R267" t="s">
        <v>28</v>
      </c>
      <c r="S267" s="1">
        <v>45339</v>
      </c>
    </row>
    <row r="268" spans="1:19" x14ac:dyDescent="0.25">
      <c r="A268" s="5" t="s">
        <v>573</v>
      </c>
      <c r="B268" s="5" t="s">
        <v>574</v>
      </c>
      <c r="C268" s="5" t="s">
        <v>21</v>
      </c>
      <c r="D268" s="5">
        <v>46</v>
      </c>
      <c r="E268" s="5" t="s">
        <v>32</v>
      </c>
      <c r="F268" s="5" t="s">
        <v>23</v>
      </c>
      <c r="G268" s="5" t="s">
        <v>33</v>
      </c>
      <c r="H268" s="5">
        <v>1900105</v>
      </c>
      <c r="I268">
        <v>756</v>
      </c>
      <c r="J268">
        <v>107143</v>
      </c>
      <c r="K268">
        <v>84</v>
      </c>
      <c r="L268">
        <v>15.26</v>
      </c>
      <c r="M268" t="s">
        <v>5</v>
      </c>
      <c r="N268" t="s">
        <v>38</v>
      </c>
      <c r="O268" t="s">
        <v>27</v>
      </c>
      <c r="P268">
        <v>1470.16</v>
      </c>
      <c r="Q268">
        <v>106460.3</v>
      </c>
      <c r="R268" t="s">
        <v>28</v>
      </c>
      <c r="S268" s="1">
        <v>45633</v>
      </c>
    </row>
    <row r="269" spans="1:19" x14ac:dyDescent="0.25">
      <c r="A269" s="5" t="s">
        <v>575</v>
      </c>
      <c r="B269" s="5" t="s">
        <v>576</v>
      </c>
      <c r="C269" s="5" t="s">
        <v>21</v>
      </c>
      <c r="D269" s="5">
        <v>56</v>
      </c>
      <c r="E269" s="5" t="s">
        <v>22</v>
      </c>
      <c r="F269" s="5" t="s">
        <v>42</v>
      </c>
      <c r="G269" s="5" t="s">
        <v>24</v>
      </c>
      <c r="H269" s="5">
        <v>1481071</v>
      </c>
      <c r="I269">
        <v>662</v>
      </c>
      <c r="J269">
        <v>411704</v>
      </c>
      <c r="K269">
        <v>36</v>
      </c>
      <c r="L269">
        <v>12.52</v>
      </c>
      <c r="M269" t="s">
        <v>57</v>
      </c>
      <c r="N269" t="s">
        <v>38</v>
      </c>
      <c r="O269" t="s">
        <v>27</v>
      </c>
      <c r="P269">
        <v>12868.04</v>
      </c>
      <c r="Q269">
        <v>148809.04</v>
      </c>
      <c r="R269" t="s">
        <v>28</v>
      </c>
      <c r="S269" s="1">
        <v>45571</v>
      </c>
    </row>
    <row r="270" spans="1:19" x14ac:dyDescent="0.25">
      <c r="A270" s="5" t="s">
        <v>577</v>
      </c>
      <c r="B270" s="5" t="s">
        <v>578</v>
      </c>
      <c r="C270" s="5" t="s">
        <v>31</v>
      </c>
      <c r="D270" s="5">
        <v>26</v>
      </c>
      <c r="E270" s="5" t="s">
        <v>32</v>
      </c>
      <c r="F270" s="5" t="s">
        <v>42</v>
      </c>
      <c r="G270" s="5" t="s">
        <v>24</v>
      </c>
      <c r="H270" s="5">
        <v>1462173</v>
      </c>
      <c r="I270">
        <v>831</v>
      </c>
      <c r="J270">
        <v>1414496</v>
      </c>
      <c r="K270">
        <v>48</v>
      </c>
      <c r="L270">
        <v>14.85</v>
      </c>
      <c r="M270" t="s">
        <v>5</v>
      </c>
      <c r="N270" t="s">
        <v>34</v>
      </c>
      <c r="O270" t="s">
        <v>27</v>
      </c>
      <c r="P270">
        <v>33844.76</v>
      </c>
      <c r="Q270">
        <v>220232.75</v>
      </c>
      <c r="R270" t="s">
        <v>28</v>
      </c>
      <c r="S270" s="1">
        <v>45346</v>
      </c>
    </row>
    <row r="271" spans="1:19" x14ac:dyDescent="0.25">
      <c r="A271" s="5" t="s">
        <v>579</v>
      </c>
      <c r="B271" s="5" t="s">
        <v>580</v>
      </c>
      <c r="C271" s="5" t="s">
        <v>31</v>
      </c>
      <c r="D271" s="5">
        <v>31</v>
      </c>
      <c r="E271" s="5" t="s">
        <v>32</v>
      </c>
      <c r="F271" s="5" t="s">
        <v>42</v>
      </c>
      <c r="G271" s="5" t="s">
        <v>24</v>
      </c>
      <c r="H271" s="5">
        <v>332511</v>
      </c>
      <c r="I271">
        <v>850</v>
      </c>
      <c r="J271">
        <v>196806</v>
      </c>
      <c r="K271">
        <v>12</v>
      </c>
      <c r="L271">
        <v>11.48</v>
      </c>
      <c r="M271" t="s">
        <v>54</v>
      </c>
      <c r="N271" t="s">
        <v>104</v>
      </c>
      <c r="O271" t="s">
        <v>39</v>
      </c>
      <c r="P271">
        <v>18283.28</v>
      </c>
      <c r="Q271">
        <v>150325.51</v>
      </c>
      <c r="R271" t="s">
        <v>28</v>
      </c>
      <c r="S271" s="1">
        <v>45949</v>
      </c>
    </row>
    <row r="272" spans="1:19" x14ac:dyDescent="0.25">
      <c r="A272" s="5" t="s">
        <v>581</v>
      </c>
      <c r="B272" s="5" t="s">
        <v>582</v>
      </c>
      <c r="C272" s="5" t="s">
        <v>31</v>
      </c>
      <c r="D272" s="5">
        <v>29</v>
      </c>
      <c r="E272" s="5" t="s">
        <v>22</v>
      </c>
      <c r="F272" s="5" t="s">
        <v>42</v>
      </c>
      <c r="G272" s="5" t="s">
        <v>24</v>
      </c>
      <c r="H272" s="5">
        <v>1543761</v>
      </c>
      <c r="I272">
        <v>671</v>
      </c>
      <c r="J272">
        <v>661813</v>
      </c>
      <c r="K272">
        <v>12</v>
      </c>
      <c r="L272">
        <v>11.74</v>
      </c>
      <c r="M272" t="s">
        <v>5</v>
      </c>
      <c r="N272" t="s">
        <v>26</v>
      </c>
      <c r="O272" t="s">
        <v>27</v>
      </c>
      <c r="P272">
        <v>61625.82</v>
      </c>
      <c r="Q272">
        <v>87295.74</v>
      </c>
      <c r="R272" t="s">
        <v>28</v>
      </c>
      <c r="S272" s="1">
        <v>45497</v>
      </c>
    </row>
    <row r="273" spans="1:19" x14ac:dyDescent="0.25">
      <c r="A273" s="5" t="s">
        <v>583</v>
      </c>
      <c r="B273" s="5" t="s">
        <v>584</v>
      </c>
      <c r="C273" s="5" t="s">
        <v>31</v>
      </c>
      <c r="D273" s="5">
        <v>44</v>
      </c>
      <c r="E273" s="5" t="s">
        <v>22</v>
      </c>
      <c r="F273" s="5" t="s">
        <v>42</v>
      </c>
      <c r="G273" s="5" t="s">
        <v>24</v>
      </c>
      <c r="H273" s="5">
        <v>1177269</v>
      </c>
      <c r="I273">
        <v>571</v>
      </c>
      <c r="J273">
        <v>1815896</v>
      </c>
      <c r="K273">
        <v>24</v>
      </c>
      <c r="L273">
        <v>12.81</v>
      </c>
      <c r="M273" t="s">
        <v>25</v>
      </c>
      <c r="N273" t="s">
        <v>26</v>
      </c>
      <c r="O273" t="s">
        <v>39</v>
      </c>
      <c r="P273">
        <v>85354.68</v>
      </c>
      <c r="Q273">
        <v>286022.95</v>
      </c>
      <c r="R273" t="s">
        <v>28</v>
      </c>
      <c r="S273" s="1">
        <v>46011</v>
      </c>
    </row>
    <row r="274" spans="1:19" x14ac:dyDescent="0.25">
      <c r="A274" s="5" t="s">
        <v>585</v>
      </c>
      <c r="B274" s="5" t="s">
        <v>586</v>
      </c>
      <c r="C274" s="5" t="s">
        <v>21</v>
      </c>
      <c r="D274" s="5">
        <v>52</v>
      </c>
      <c r="E274" s="5" t="s">
        <v>32</v>
      </c>
      <c r="F274" s="5" t="s">
        <v>23</v>
      </c>
      <c r="G274" s="5" t="s">
        <v>33</v>
      </c>
      <c r="H274" s="5">
        <v>1697464</v>
      </c>
      <c r="I274">
        <v>623</v>
      </c>
      <c r="J274">
        <v>1476922</v>
      </c>
      <c r="K274">
        <v>36</v>
      </c>
      <c r="L274">
        <v>13.82</v>
      </c>
      <c r="M274" t="s">
        <v>43</v>
      </c>
      <c r="N274" t="s">
        <v>38</v>
      </c>
      <c r="O274" t="s">
        <v>39</v>
      </c>
      <c r="P274">
        <v>46695.35</v>
      </c>
      <c r="Q274">
        <v>968041.38</v>
      </c>
      <c r="R274" t="s">
        <v>28</v>
      </c>
      <c r="S274" s="1">
        <v>45520</v>
      </c>
    </row>
    <row r="275" spans="1:19" x14ac:dyDescent="0.25">
      <c r="A275" s="5" t="s">
        <v>587</v>
      </c>
      <c r="B275" s="5" t="s">
        <v>588</v>
      </c>
      <c r="C275" s="5" t="s">
        <v>21</v>
      </c>
      <c r="D275" s="5">
        <v>46</v>
      </c>
      <c r="E275" s="5" t="s">
        <v>22</v>
      </c>
      <c r="F275" s="5" t="s">
        <v>23</v>
      </c>
      <c r="G275" s="5" t="s">
        <v>33</v>
      </c>
      <c r="H275" s="5">
        <v>1544013</v>
      </c>
      <c r="I275">
        <v>697</v>
      </c>
      <c r="J275">
        <v>1208165</v>
      </c>
      <c r="K275">
        <v>12</v>
      </c>
      <c r="L275">
        <v>12.68</v>
      </c>
      <c r="M275" t="s">
        <v>5</v>
      </c>
      <c r="N275" t="s">
        <v>38</v>
      </c>
      <c r="O275" t="s">
        <v>27</v>
      </c>
      <c r="P275">
        <v>113446.69</v>
      </c>
      <c r="Q275">
        <v>828784.6</v>
      </c>
      <c r="R275" t="s">
        <v>28</v>
      </c>
      <c r="S275" s="1">
        <v>46012</v>
      </c>
    </row>
    <row r="276" spans="1:19" x14ac:dyDescent="0.25">
      <c r="A276" s="5" t="s">
        <v>589</v>
      </c>
      <c r="B276" s="5" t="s">
        <v>590</v>
      </c>
      <c r="C276" s="5" t="s">
        <v>21</v>
      </c>
      <c r="D276" s="5">
        <v>46</v>
      </c>
      <c r="E276" s="5" t="s">
        <v>22</v>
      </c>
      <c r="F276" s="5" t="s">
        <v>23</v>
      </c>
      <c r="G276" s="5" t="s">
        <v>24</v>
      </c>
      <c r="H276" s="5">
        <v>1429131</v>
      </c>
      <c r="I276">
        <v>846</v>
      </c>
      <c r="J276">
        <v>378867</v>
      </c>
      <c r="K276">
        <v>12</v>
      </c>
      <c r="L276">
        <v>13.84</v>
      </c>
      <c r="M276" t="s">
        <v>57</v>
      </c>
      <c r="N276" t="s">
        <v>26</v>
      </c>
      <c r="O276" t="s">
        <v>27</v>
      </c>
      <c r="P276">
        <v>35941.85</v>
      </c>
      <c r="Q276">
        <v>261823.55</v>
      </c>
      <c r="R276" t="s">
        <v>28</v>
      </c>
      <c r="S276" s="1">
        <v>45442</v>
      </c>
    </row>
    <row r="277" spans="1:19" x14ac:dyDescent="0.25">
      <c r="A277" s="5" t="s">
        <v>591</v>
      </c>
      <c r="B277" s="5" t="s">
        <v>592</v>
      </c>
      <c r="C277" s="5" t="s">
        <v>21</v>
      </c>
      <c r="D277" s="5">
        <v>60</v>
      </c>
      <c r="E277" s="5" t="s">
        <v>32</v>
      </c>
      <c r="F277" s="5" t="s">
        <v>42</v>
      </c>
      <c r="G277" s="5" t="s">
        <v>33</v>
      </c>
      <c r="H277" s="5">
        <v>976372</v>
      </c>
      <c r="I277">
        <v>585</v>
      </c>
      <c r="J277">
        <v>320803</v>
      </c>
      <c r="K277">
        <v>240</v>
      </c>
      <c r="L277">
        <v>15.25</v>
      </c>
      <c r="M277" t="s">
        <v>5</v>
      </c>
      <c r="N277" t="s">
        <v>44</v>
      </c>
      <c r="O277" t="s">
        <v>27</v>
      </c>
      <c r="P277">
        <v>1540.52</v>
      </c>
      <c r="Q277">
        <v>289685.52</v>
      </c>
      <c r="R277" t="s">
        <v>35</v>
      </c>
      <c r="S277" s="1">
        <v>45311</v>
      </c>
    </row>
    <row r="278" spans="1:19" x14ac:dyDescent="0.25">
      <c r="A278" s="5" t="s">
        <v>593</v>
      </c>
      <c r="B278" s="5" t="s">
        <v>594</v>
      </c>
      <c r="C278" s="5" t="s">
        <v>31</v>
      </c>
      <c r="D278" s="5">
        <v>48</v>
      </c>
      <c r="E278" s="5" t="s">
        <v>32</v>
      </c>
      <c r="F278" s="5" t="s">
        <v>42</v>
      </c>
      <c r="G278" s="5" t="s">
        <v>24</v>
      </c>
      <c r="H278" s="5">
        <v>1577165</v>
      </c>
      <c r="I278">
        <v>670</v>
      </c>
      <c r="J278">
        <v>1649883</v>
      </c>
      <c r="K278">
        <v>36</v>
      </c>
      <c r="L278">
        <v>10.24</v>
      </c>
      <c r="M278" t="s">
        <v>54</v>
      </c>
      <c r="N278" t="s">
        <v>38</v>
      </c>
      <c r="O278" t="s">
        <v>27</v>
      </c>
      <c r="P278">
        <v>50523.08</v>
      </c>
      <c r="Q278">
        <v>458428.84</v>
      </c>
      <c r="R278" t="s">
        <v>28</v>
      </c>
      <c r="S278" s="1">
        <v>45598</v>
      </c>
    </row>
    <row r="279" spans="1:19" x14ac:dyDescent="0.25">
      <c r="A279" s="5" t="s">
        <v>595</v>
      </c>
      <c r="B279" s="5" t="s">
        <v>596</v>
      </c>
      <c r="C279" s="5" t="s">
        <v>21</v>
      </c>
      <c r="D279" s="5">
        <v>33</v>
      </c>
      <c r="E279" s="5" t="s">
        <v>22</v>
      </c>
      <c r="F279" s="5" t="s">
        <v>23</v>
      </c>
      <c r="G279" s="5" t="s">
        <v>33</v>
      </c>
      <c r="H279" s="5">
        <v>1311993</v>
      </c>
      <c r="I279">
        <v>672</v>
      </c>
      <c r="J279">
        <v>1127200</v>
      </c>
      <c r="K279">
        <v>180</v>
      </c>
      <c r="L279">
        <v>12.25</v>
      </c>
      <c r="M279" t="s">
        <v>43</v>
      </c>
      <c r="N279" t="s">
        <v>44</v>
      </c>
      <c r="O279" t="s">
        <v>27</v>
      </c>
      <c r="P279">
        <v>7029.34</v>
      </c>
      <c r="Q279">
        <v>309231.5</v>
      </c>
      <c r="R279" t="s">
        <v>28</v>
      </c>
      <c r="S279" s="1">
        <v>45812</v>
      </c>
    </row>
    <row r="280" spans="1:19" x14ac:dyDescent="0.25">
      <c r="A280" s="5" t="s">
        <v>597</v>
      </c>
      <c r="B280" s="5" t="s">
        <v>598</v>
      </c>
      <c r="C280" s="5" t="s">
        <v>31</v>
      </c>
      <c r="D280" s="5">
        <v>21</v>
      </c>
      <c r="E280" s="5" t="s">
        <v>22</v>
      </c>
      <c r="F280" s="5" t="s">
        <v>23</v>
      </c>
      <c r="G280" s="5" t="s">
        <v>33</v>
      </c>
      <c r="H280" s="5">
        <v>737970</v>
      </c>
      <c r="I280">
        <v>621</v>
      </c>
      <c r="J280">
        <v>496646</v>
      </c>
      <c r="K280">
        <v>120</v>
      </c>
      <c r="L280">
        <v>13.84</v>
      </c>
      <c r="M280" t="s">
        <v>54</v>
      </c>
      <c r="N280" t="s">
        <v>44</v>
      </c>
      <c r="O280" t="s">
        <v>39</v>
      </c>
      <c r="P280">
        <v>4711.5200000000004</v>
      </c>
      <c r="Q280">
        <v>468488.83</v>
      </c>
      <c r="R280" t="s">
        <v>28</v>
      </c>
      <c r="S280" s="1">
        <v>45643</v>
      </c>
    </row>
    <row r="281" spans="1:19" x14ac:dyDescent="0.25">
      <c r="A281" s="5" t="s">
        <v>599</v>
      </c>
      <c r="B281" s="5" t="s">
        <v>600</v>
      </c>
      <c r="C281" s="5" t="s">
        <v>31</v>
      </c>
      <c r="D281" s="5">
        <v>28</v>
      </c>
      <c r="E281" s="5" t="s">
        <v>22</v>
      </c>
      <c r="F281" s="5" t="s">
        <v>23</v>
      </c>
      <c r="G281" s="5" t="s">
        <v>24</v>
      </c>
      <c r="H281" s="5">
        <v>1412670</v>
      </c>
      <c r="I281">
        <v>791</v>
      </c>
      <c r="J281">
        <v>1546759</v>
      </c>
      <c r="K281">
        <v>12</v>
      </c>
      <c r="L281">
        <v>10.5</v>
      </c>
      <c r="M281" t="s">
        <v>25</v>
      </c>
      <c r="N281" t="s">
        <v>104</v>
      </c>
      <c r="O281" t="s">
        <v>27</v>
      </c>
      <c r="P281">
        <v>142430.72</v>
      </c>
      <c r="Q281">
        <v>521085.72</v>
      </c>
      <c r="R281" t="s">
        <v>28</v>
      </c>
      <c r="S281" s="1">
        <v>45759</v>
      </c>
    </row>
    <row r="282" spans="1:19" x14ac:dyDescent="0.25">
      <c r="A282" s="5" t="s">
        <v>601</v>
      </c>
      <c r="B282" s="5" t="s">
        <v>602</v>
      </c>
      <c r="C282" s="5" t="s">
        <v>21</v>
      </c>
      <c r="D282" s="5">
        <v>35</v>
      </c>
      <c r="E282" s="5" t="s">
        <v>22</v>
      </c>
      <c r="F282" s="5" t="s">
        <v>42</v>
      </c>
      <c r="G282" s="5" t="s">
        <v>24</v>
      </c>
      <c r="H282" s="5">
        <v>764967</v>
      </c>
      <c r="I282">
        <v>753</v>
      </c>
      <c r="J282">
        <v>1691500</v>
      </c>
      <c r="K282">
        <v>12</v>
      </c>
      <c r="L282">
        <v>14.48</v>
      </c>
      <c r="M282" t="s">
        <v>43</v>
      </c>
      <c r="N282" t="s">
        <v>44</v>
      </c>
      <c r="O282" t="s">
        <v>27</v>
      </c>
      <c r="P282">
        <v>161369.1</v>
      </c>
      <c r="Q282">
        <v>952231.14</v>
      </c>
      <c r="R282" t="s">
        <v>28</v>
      </c>
      <c r="S282" s="1">
        <v>45582</v>
      </c>
    </row>
    <row r="283" spans="1:19" x14ac:dyDescent="0.25">
      <c r="A283" s="5" t="s">
        <v>603</v>
      </c>
      <c r="B283" s="5" t="s">
        <v>604</v>
      </c>
      <c r="C283" s="5" t="s">
        <v>21</v>
      </c>
      <c r="D283" s="5">
        <v>55</v>
      </c>
      <c r="E283" s="5" t="s">
        <v>32</v>
      </c>
      <c r="F283" s="5" t="s">
        <v>42</v>
      </c>
      <c r="G283" s="5" t="s">
        <v>33</v>
      </c>
      <c r="H283" s="5">
        <v>1915059</v>
      </c>
      <c r="I283">
        <v>683</v>
      </c>
      <c r="J283">
        <v>1043132</v>
      </c>
      <c r="K283">
        <v>60</v>
      </c>
      <c r="L283">
        <v>9.41</v>
      </c>
      <c r="M283" t="s">
        <v>57</v>
      </c>
      <c r="N283" t="s">
        <v>104</v>
      </c>
      <c r="O283" t="s">
        <v>27</v>
      </c>
      <c r="P283">
        <v>19021.509999999998</v>
      </c>
      <c r="Q283">
        <v>1010700.05</v>
      </c>
      <c r="R283" t="s">
        <v>28</v>
      </c>
      <c r="S283" s="1">
        <v>45528</v>
      </c>
    </row>
    <row r="284" spans="1:19" x14ac:dyDescent="0.25">
      <c r="A284" s="5" t="s">
        <v>605</v>
      </c>
      <c r="B284" s="5" t="s">
        <v>606</v>
      </c>
      <c r="C284" s="5" t="s">
        <v>21</v>
      </c>
      <c r="D284" s="5">
        <v>43</v>
      </c>
      <c r="E284" s="5" t="s">
        <v>32</v>
      </c>
      <c r="F284" s="5" t="s">
        <v>42</v>
      </c>
      <c r="G284" s="5" t="s">
        <v>33</v>
      </c>
      <c r="H284" s="5">
        <v>760938</v>
      </c>
      <c r="I284">
        <v>666</v>
      </c>
      <c r="J284">
        <v>1637764</v>
      </c>
      <c r="K284">
        <v>240</v>
      </c>
      <c r="L284">
        <v>12.63</v>
      </c>
      <c r="M284" t="s">
        <v>54</v>
      </c>
      <c r="N284" t="s">
        <v>38</v>
      </c>
      <c r="O284" t="s">
        <v>27</v>
      </c>
      <c r="P284">
        <v>7685.89</v>
      </c>
      <c r="Q284">
        <v>1376723.45</v>
      </c>
      <c r="R284" t="s">
        <v>28</v>
      </c>
      <c r="S284" s="1">
        <v>45343</v>
      </c>
    </row>
    <row r="285" spans="1:19" x14ac:dyDescent="0.25">
      <c r="A285" s="5" t="s">
        <v>607</v>
      </c>
      <c r="B285" s="5" t="s">
        <v>608</v>
      </c>
      <c r="C285" s="5" t="s">
        <v>21</v>
      </c>
      <c r="D285" s="5">
        <v>23</v>
      </c>
      <c r="E285" s="5" t="s">
        <v>32</v>
      </c>
      <c r="F285" s="5" t="s">
        <v>23</v>
      </c>
      <c r="G285" s="5" t="s">
        <v>33</v>
      </c>
      <c r="H285" s="5">
        <v>1880772</v>
      </c>
      <c r="I285">
        <v>720</v>
      </c>
      <c r="J285">
        <v>1201039</v>
      </c>
      <c r="K285">
        <v>12</v>
      </c>
      <c r="L285">
        <v>13.08</v>
      </c>
      <c r="M285" t="s">
        <v>43</v>
      </c>
      <c r="N285" t="s">
        <v>104</v>
      </c>
      <c r="O285" t="s">
        <v>27</v>
      </c>
      <c r="P285">
        <v>113177.91</v>
      </c>
      <c r="Q285">
        <v>159373.6</v>
      </c>
      <c r="R285" t="s">
        <v>28</v>
      </c>
      <c r="S285" s="1">
        <v>45457</v>
      </c>
    </row>
    <row r="286" spans="1:19" x14ac:dyDescent="0.25">
      <c r="A286" s="5" t="s">
        <v>609</v>
      </c>
      <c r="B286" s="5" t="s">
        <v>610</v>
      </c>
      <c r="C286" s="5" t="s">
        <v>31</v>
      </c>
      <c r="D286" s="5">
        <v>35</v>
      </c>
      <c r="E286" s="5" t="s">
        <v>32</v>
      </c>
      <c r="F286" s="5" t="s">
        <v>23</v>
      </c>
      <c r="G286" s="5" t="s">
        <v>33</v>
      </c>
      <c r="H286" s="5">
        <v>1214539</v>
      </c>
      <c r="I286">
        <v>586</v>
      </c>
      <c r="J286">
        <v>297973</v>
      </c>
      <c r="K286">
        <v>48</v>
      </c>
      <c r="L286">
        <v>14.05</v>
      </c>
      <c r="M286" t="s">
        <v>25</v>
      </c>
      <c r="N286" t="s">
        <v>34</v>
      </c>
      <c r="O286" t="s">
        <v>39</v>
      </c>
      <c r="P286">
        <v>7079.96</v>
      </c>
      <c r="Q286">
        <v>54297.97</v>
      </c>
      <c r="R286" t="s">
        <v>28</v>
      </c>
      <c r="S286" s="1">
        <v>45918</v>
      </c>
    </row>
    <row r="287" spans="1:19" x14ac:dyDescent="0.25">
      <c r="A287" s="5" t="s">
        <v>611</v>
      </c>
      <c r="B287" s="5" t="s">
        <v>612</v>
      </c>
      <c r="C287" s="5" t="s">
        <v>21</v>
      </c>
      <c r="D287" s="5">
        <v>58</v>
      </c>
      <c r="E287" s="5" t="s">
        <v>32</v>
      </c>
      <c r="F287" s="5" t="s">
        <v>23</v>
      </c>
      <c r="G287" s="5" t="s">
        <v>24</v>
      </c>
      <c r="H287" s="5">
        <v>1584414</v>
      </c>
      <c r="I287">
        <v>704</v>
      </c>
      <c r="J287">
        <v>1045902</v>
      </c>
      <c r="K287">
        <v>240</v>
      </c>
      <c r="L287">
        <v>10.97</v>
      </c>
      <c r="M287" t="s">
        <v>25</v>
      </c>
      <c r="N287" t="s">
        <v>38</v>
      </c>
      <c r="O287" t="s">
        <v>27</v>
      </c>
      <c r="P287">
        <v>4835.99</v>
      </c>
      <c r="Q287">
        <v>632491.41</v>
      </c>
      <c r="R287" t="s">
        <v>28</v>
      </c>
      <c r="S287" s="1">
        <v>45327</v>
      </c>
    </row>
    <row r="288" spans="1:19" x14ac:dyDescent="0.25">
      <c r="A288" s="5" t="s">
        <v>613</v>
      </c>
      <c r="B288" s="5" t="s">
        <v>614</v>
      </c>
      <c r="C288" s="5" t="s">
        <v>31</v>
      </c>
      <c r="D288" s="5">
        <v>45</v>
      </c>
      <c r="E288" s="5" t="s">
        <v>32</v>
      </c>
      <c r="F288" s="5" t="s">
        <v>23</v>
      </c>
      <c r="G288" s="5" t="s">
        <v>33</v>
      </c>
      <c r="H288" s="5">
        <v>586469</v>
      </c>
      <c r="I288">
        <v>591</v>
      </c>
      <c r="J288">
        <v>239611</v>
      </c>
      <c r="K288">
        <v>24</v>
      </c>
      <c r="L288">
        <v>10.41</v>
      </c>
      <c r="M288" t="s">
        <v>54</v>
      </c>
      <c r="N288" t="s">
        <v>38</v>
      </c>
      <c r="O288" t="s">
        <v>39</v>
      </c>
      <c r="P288">
        <v>11023.1</v>
      </c>
      <c r="Q288">
        <v>77027.039999999994</v>
      </c>
      <c r="R288" t="s">
        <v>28</v>
      </c>
      <c r="S288" s="1">
        <v>45809</v>
      </c>
    </row>
    <row r="289" spans="1:19" x14ac:dyDescent="0.25">
      <c r="A289" s="5" t="s">
        <v>615</v>
      </c>
      <c r="B289" s="5" t="s">
        <v>616</v>
      </c>
      <c r="C289" s="5" t="s">
        <v>31</v>
      </c>
      <c r="D289" s="5">
        <v>23</v>
      </c>
      <c r="E289" s="5" t="s">
        <v>32</v>
      </c>
      <c r="F289" s="5" t="s">
        <v>23</v>
      </c>
      <c r="G289" s="5" t="s">
        <v>24</v>
      </c>
      <c r="H289" s="5">
        <v>314490</v>
      </c>
      <c r="I289">
        <v>819</v>
      </c>
      <c r="J289">
        <v>1410527</v>
      </c>
      <c r="K289">
        <v>12</v>
      </c>
      <c r="L289">
        <v>8.34</v>
      </c>
      <c r="M289" t="s">
        <v>57</v>
      </c>
      <c r="N289" t="s">
        <v>26</v>
      </c>
      <c r="O289" t="s">
        <v>27</v>
      </c>
      <c r="P289">
        <v>127347.08</v>
      </c>
      <c r="Q289">
        <v>846294.61</v>
      </c>
      <c r="R289" t="s">
        <v>28</v>
      </c>
      <c r="S289" s="1">
        <v>45655</v>
      </c>
    </row>
    <row r="290" spans="1:19" x14ac:dyDescent="0.25">
      <c r="A290" s="5" t="s">
        <v>617</v>
      </c>
      <c r="B290" s="5" t="s">
        <v>618</v>
      </c>
      <c r="C290" s="5" t="s">
        <v>31</v>
      </c>
      <c r="D290" s="5">
        <v>40</v>
      </c>
      <c r="E290" s="5" t="s">
        <v>32</v>
      </c>
      <c r="F290" s="5" t="s">
        <v>23</v>
      </c>
      <c r="G290" s="5" t="s">
        <v>33</v>
      </c>
      <c r="H290" s="5">
        <v>1860304</v>
      </c>
      <c r="I290">
        <v>834</v>
      </c>
      <c r="J290">
        <v>1442768</v>
      </c>
      <c r="K290">
        <v>84</v>
      </c>
      <c r="L290">
        <v>13.84</v>
      </c>
      <c r="M290" t="s">
        <v>54</v>
      </c>
      <c r="N290" t="s">
        <v>38</v>
      </c>
      <c r="O290" t="s">
        <v>27</v>
      </c>
      <c r="P290">
        <v>19552.939999999999</v>
      </c>
      <c r="Q290">
        <v>728062.78</v>
      </c>
      <c r="R290" t="s">
        <v>28</v>
      </c>
      <c r="S290" s="1">
        <v>45372</v>
      </c>
    </row>
    <row r="291" spans="1:19" x14ac:dyDescent="0.25">
      <c r="A291" s="5" t="s">
        <v>619</v>
      </c>
      <c r="B291" s="5" t="s">
        <v>620</v>
      </c>
      <c r="C291" s="5" t="s">
        <v>31</v>
      </c>
      <c r="D291" s="5">
        <v>31</v>
      </c>
      <c r="E291" s="5" t="s">
        <v>22</v>
      </c>
      <c r="F291" s="5" t="s">
        <v>23</v>
      </c>
      <c r="G291" s="5" t="s">
        <v>33</v>
      </c>
      <c r="H291" s="5">
        <v>1932640</v>
      </c>
      <c r="I291">
        <v>616</v>
      </c>
      <c r="J291">
        <v>773023</v>
      </c>
      <c r="K291">
        <v>60</v>
      </c>
      <c r="L291">
        <v>11.89</v>
      </c>
      <c r="M291" t="s">
        <v>43</v>
      </c>
      <c r="N291" t="s">
        <v>104</v>
      </c>
      <c r="O291" t="s">
        <v>39</v>
      </c>
      <c r="P291">
        <v>14415.59</v>
      </c>
      <c r="Q291">
        <v>385559.56</v>
      </c>
      <c r="R291" t="s">
        <v>28</v>
      </c>
      <c r="S291" s="1">
        <v>45380</v>
      </c>
    </row>
    <row r="292" spans="1:19" x14ac:dyDescent="0.25">
      <c r="A292" s="5" t="s">
        <v>621</v>
      </c>
      <c r="B292" s="5" t="s">
        <v>622</v>
      </c>
      <c r="C292" s="5" t="s">
        <v>21</v>
      </c>
      <c r="D292" s="5">
        <v>38</v>
      </c>
      <c r="E292" s="5" t="s">
        <v>22</v>
      </c>
      <c r="F292" s="5" t="s">
        <v>42</v>
      </c>
      <c r="G292" s="5" t="s">
        <v>24</v>
      </c>
      <c r="H292" s="5">
        <v>836200</v>
      </c>
      <c r="I292">
        <v>639</v>
      </c>
      <c r="J292">
        <v>1400514</v>
      </c>
      <c r="K292">
        <v>120</v>
      </c>
      <c r="L292">
        <v>14.87</v>
      </c>
      <c r="M292" t="s">
        <v>57</v>
      </c>
      <c r="N292" t="s">
        <v>34</v>
      </c>
      <c r="O292" t="s">
        <v>39</v>
      </c>
      <c r="P292">
        <v>13406.42</v>
      </c>
      <c r="Q292">
        <v>1272487.06</v>
      </c>
      <c r="R292" t="s">
        <v>28</v>
      </c>
      <c r="S292" s="1">
        <v>45564</v>
      </c>
    </row>
    <row r="293" spans="1:19" x14ac:dyDescent="0.25">
      <c r="A293" s="5" t="s">
        <v>623</v>
      </c>
      <c r="B293" s="5" t="s">
        <v>624</v>
      </c>
      <c r="C293" s="5" t="s">
        <v>21</v>
      </c>
      <c r="D293" s="5">
        <v>30</v>
      </c>
      <c r="E293" s="5" t="s">
        <v>22</v>
      </c>
      <c r="F293" s="5" t="s">
        <v>23</v>
      </c>
      <c r="G293" s="5" t="s">
        <v>24</v>
      </c>
      <c r="H293" s="5">
        <v>648717</v>
      </c>
      <c r="I293">
        <v>796</v>
      </c>
      <c r="J293">
        <v>1373069</v>
      </c>
      <c r="K293">
        <v>36</v>
      </c>
      <c r="L293">
        <v>9.44</v>
      </c>
      <c r="M293" t="s">
        <v>43</v>
      </c>
      <c r="N293" t="s">
        <v>44</v>
      </c>
      <c r="O293" t="s">
        <v>27</v>
      </c>
      <c r="P293">
        <v>41741.300000000003</v>
      </c>
      <c r="Q293">
        <v>1190274.44</v>
      </c>
      <c r="R293" t="s">
        <v>28</v>
      </c>
      <c r="S293" s="1">
        <v>45960</v>
      </c>
    </row>
    <row r="294" spans="1:19" x14ac:dyDescent="0.25">
      <c r="A294" s="5" t="s">
        <v>625</v>
      </c>
      <c r="B294" s="5" t="s">
        <v>626</v>
      </c>
      <c r="C294" s="5" t="s">
        <v>21</v>
      </c>
      <c r="D294" s="5">
        <v>21</v>
      </c>
      <c r="E294" s="5" t="s">
        <v>32</v>
      </c>
      <c r="F294" s="5" t="s">
        <v>42</v>
      </c>
      <c r="G294" s="5" t="s">
        <v>33</v>
      </c>
      <c r="H294" s="5">
        <v>1535248</v>
      </c>
      <c r="I294">
        <v>733</v>
      </c>
      <c r="J294">
        <v>1434827</v>
      </c>
      <c r="K294">
        <v>84</v>
      </c>
      <c r="L294">
        <v>9.52</v>
      </c>
      <c r="M294" t="s">
        <v>5</v>
      </c>
      <c r="N294" t="s">
        <v>34</v>
      </c>
      <c r="O294" t="s">
        <v>27</v>
      </c>
      <c r="P294">
        <v>18707.41</v>
      </c>
      <c r="Q294">
        <v>904854.65</v>
      </c>
      <c r="R294" t="s">
        <v>28</v>
      </c>
      <c r="S294" s="1">
        <v>45372</v>
      </c>
    </row>
    <row r="295" spans="1:19" x14ac:dyDescent="0.25">
      <c r="A295" s="5" t="s">
        <v>627</v>
      </c>
      <c r="B295" s="5" t="s">
        <v>628</v>
      </c>
      <c r="C295" s="5" t="s">
        <v>31</v>
      </c>
      <c r="D295" s="5">
        <v>30</v>
      </c>
      <c r="E295" s="5" t="s">
        <v>32</v>
      </c>
      <c r="F295" s="5" t="s">
        <v>42</v>
      </c>
      <c r="G295" s="5" t="s">
        <v>24</v>
      </c>
      <c r="H295" s="5">
        <v>1802371</v>
      </c>
      <c r="I295">
        <v>645</v>
      </c>
      <c r="J295">
        <v>293910</v>
      </c>
      <c r="K295">
        <v>36</v>
      </c>
      <c r="L295">
        <v>13.78</v>
      </c>
      <c r="M295" t="s">
        <v>57</v>
      </c>
      <c r="N295" t="s">
        <v>104</v>
      </c>
      <c r="O295" t="s">
        <v>27</v>
      </c>
      <c r="P295">
        <v>9289.19</v>
      </c>
      <c r="Q295">
        <v>236669.3</v>
      </c>
      <c r="R295" t="s">
        <v>28</v>
      </c>
      <c r="S295" s="1">
        <v>45483</v>
      </c>
    </row>
    <row r="296" spans="1:19" x14ac:dyDescent="0.25">
      <c r="A296" s="5" t="s">
        <v>629</v>
      </c>
      <c r="B296" s="5" t="s">
        <v>630</v>
      </c>
      <c r="C296" s="5" t="s">
        <v>21</v>
      </c>
      <c r="D296" s="5">
        <v>24</v>
      </c>
      <c r="E296" s="5" t="s">
        <v>22</v>
      </c>
      <c r="F296" s="5" t="s">
        <v>42</v>
      </c>
      <c r="G296" s="5" t="s">
        <v>33</v>
      </c>
      <c r="H296" s="5">
        <v>1811818</v>
      </c>
      <c r="I296">
        <v>593</v>
      </c>
      <c r="J296">
        <v>423885</v>
      </c>
      <c r="K296">
        <v>120</v>
      </c>
      <c r="L296">
        <v>13.81</v>
      </c>
      <c r="M296" t="s">
        <v>43</v>
      </c>
      <c r="N296" t="s">
        <v>104</v>
      </c>
      <c r="O296" t="s">
        <v>27</v>
      </c>
      <c r="P296">
        <v>4020.2</v>
      </c>
      <c r="Q296">
        <v>124940.07</v>
      </c>
      <c r="R296" t="s">
        <v>35</v>
      </c>
      <c r="S296" s="1">
        <v>45416</v>
      </c>
    </row>
    <row r="297" spans="1:19" x14ac:dyDescent="0.25">
      <c r="A297" s="5" t="s">
        <v>631</v>
      </c>
      <c r="B297" s="5" t="s">
        <v>632</v>
      </c>
      <c r="C297" s="5" t="s">
        <v>21</v>
      </c>
      <c r="D297" s="5">
        <v>28</v>
      </c>
      <c r="E297" s="5" t="s">
        <v>22</v>
      </c>
      <c r="F297" s="5" t="s">
        <v>42</v>
      </c>
      <c r="G297" s="5" t="s">
        <v>24</v>
      </c>
      <c r="H297" s="5">
        <v>1235224</v>
      </c>
      <c r="I297">
        <v>814</v>
      </c>
      <c r="J297">
        <v>789719</v>
      </c>
      <c r="K297">
        <v>24</v>
      </c>
      <c r="L297">
        <v>10.6</v>
      </c>
      <c r="M297" t="s">
        <v>57</v>
      </c>
      <c r="N297" t="s">
        <v>34</v>
      </c>
      <c r="O297" t="s">
        <v>27</v>
      </c>
      <c r="P297">
        <v>36392.879999999997</v>
      </c>
      <c r="Q297">
        <v>541613.11</v>
      </c>
      <c r="R297" t="s">
        <v>28</v>
      </c>
      <c r="S297" s="1">
        <v>45971</v>
      </c>
    </row>
    <row r="298" spans="1:19" x14ac:dyDescent="0.25">
      <c r="A298" s="5" t="s">
        <v>633</v>
      </c>
      <c r="B298" s="5" t="s">
        <v>634</v>
      </c>
      <c r="C298" s="5" t="s">
        <v>21</v>
      </c>
      <c r="D298" s="5">
        <v>44</v>
      </c>
      <c r="E298" s="5" t="s">
        <v>22</v>
      </c>
      <c r="F298" s="5" t="s">
        <v>23</v>
      </c>
      <c r="G298" s="5" t="s">
        <v>24</v>
      </c>
      <c r="H298" s="5">
        <v>1791384</v>
      </c>
      <c r="I298">
        <v>602</v>
      </c>
      <c r="J298">
        <v>1193630</v>
      </c>
      <c r="K298">
        <v>60</v>
      </c>
      <c r="L298">
        <v>11.07</v>
      </c>
      <c r="M298" t="s">
        <v>54</v>
      </c>
      <c r="N298" t="s">
        <v>44</v>
      </c>
      <c r="O298" t="s">
        <v>39</v>
      </c>
      <c r="P298">
        <v>22096.080000000002</v>
      </c>
      <c r="Q298">
        <v>863549.81</v>
      </c>
      <c r="R298" t="s">
        <v>28</v>
      </c>
      <c r="S298" s="1">
        <v>45681</v>
      </c>
    </row>
    <row r="299" spans="1:19" x14ac:dyDescent="0.25">
      <c r="A299" s="5" t="s">
        <v>635</v>
      </c>
      <c r="B299" s="5" t="s">
        <v>636</v>
      </c>
      <c r="C299" s="5" t="s">
        <v>31</v>
      </c>
      <c r="D299" s="5">
        <v>43</v>
      </c>
      <c r="E299" s="5" t="s">
        <v>22</v>
      </c>
      <c r="F299" s="5" t="s">
        <v>42</v>
      </c>
      <c r="G299" s="5" t="s">
        <v>24</v>
      </c>
      <c r="H299" s="5">
        <v>952035</v>
      </c>
      <c r="I299">
        <v>768</v>
      </c>
      <c r="J299">
        <v>860013</v>
      </c>
      <c r="K299">
        <v>48</v>
      </c>
      <c r="L299">
        <v>11.19</v>
      </c>
      <c r="M299" t="s">
        <v>43</v>
      </c>
      <c r="N299" t="s">
        <v>104</v>
      </c>
      <c r="O299" t="s">
        <v>27</v>
      </c>
      <c r="P299">
        <v>19921.84</v>
      </c>
      <c r="Q299">
        <v>328300.56</v>
      </c>
      <c r="R299" t="s">
        <v>28</v>
      </c>
      <c r="S299" s="1">
        <v>45620</v>
      </c>
    </row>
    <row r="300" spans="1:19" x14ac:dyDescent="0.25">
      <c r="A300" s="5" t="s">
        <v>637</v>
      </c>
      <c r="B300" s="5" t="s">
        <v>638</v>
      </c>
      <c r="C300" s="5" t="s">
        <v>21</v>
      </c>
      <c r="D300" s="5">
        <v>44</v>
      </c>
      <c r="E300" s="5" t="s">
        <v>32</v>
      </c>
      <c r="F300" s="5" t="s">
        <v>42</v>
      </c>
      <c r="G300" s="5" t="s">
        <v>24</v>
      </c>
      <c r="H300" s="5">
        <v>915512</v>
      </c>
      <c r="I300">
        <v>575</v>
      </c>
      <c r="J300">
        <v>1891630</v>
      </c>
      <c r="K300">
        <v>24</v>
      </c>
      <c r="L300">
        <v>14.19</v>
      </c>
      <c r="M300" t="s">
        <v>54</v>
      </c>
      <c r="N300" t="s">
        <v>51</v>
      </c>
      <c r="O300" t="s">
        <v>27</v>
      </c>
      <c r="P300">
        <v>90002.18</v>
      </c>
      <c r="Q300">
        <v>1239414.73</v>
      </c>
      <c r="R300" t="s">
        <v>35</v>
      </c>
      <c r="S300" s="1">
        <v>45762</v>
      </c>
    </row>
    <row r="301" spans="1:19" x14ac:dyDescent="0.25">
      <c r="A301" s="5" t="s">
        <v>639</v>
      </c>
      <c r="B301" s="5" t="s">
        <v>640</v>
      </c>
      <c r="C301" s="5" t="s">
        <v>31</v>
      </c>
      <c r="D301" s="5">
        <v>23</v>
      </c>
      <c r="E301" s="5" t="s">
        <v>22</v>
      </c>
      <c r="F301" s="5" t="s">
        <v>23</v>
      </c>
      <c r="G301" s="5" t="s">
        <v>24</v>
      </c>
      <c r="H301" s="5">
        <v>311771</v>
      </c>
      <c r="I301">
        <v>682</v>
      </c>
      <c r="J301">
        <v>1997509</v>
      </c>
      <c r="K301">
        <v>36</v>
      </c>
      <c r="L301">
        <v>13.05</v>
      </c>
      <c r="M301" t="s">
        <v>5</v>
      </c>
      <c r="N301" t="s">
        <v>34</v>
      </c>
      <c r="O301" t="s">
        <v>27</v>
      </c>
      <c r="P301">
        <v>62727.33</v>
      </c>
      <c r="Q301">
        <v>1436682.24</v>
      </c>
      <c r="R301" t="s">
        <v>28</v>
      </c>
      <c r="S301" s="1">
        <v>45942</v>
      </c>
    </row>
    <row r="302" spans="1:19" x14ac:dyDescent="0.25">
      <c r="A302" s="5" t="s">
        <v>641</v>
      </c>
      <c r="B302" s="5" t="s">
        <v>642</v>
      </c>
      <c r="C302" s="5" t="s">
        <v>31</v>
      </c>
      <c r="D302" s="5">
        <v>22</v>
      </c>
      <c r="E302" s="5" t="s">
        <v>22</v>
      </c>
      <c r="F302" s="5" t="s">
        <v>23</v>
      </c>
      <c r="G302" s="5" t="s">
        <v>33</v>
      </c>
      <c r="H302" s="5">
        <v>1986440</v>
      </c>
      <c r="I302">
        <v>712</v>
      </c>
      <c r="J302">
        <v>302534</v>
      </c>
      <c r="K302">
        <v>60</v>
      </c>
      <c r="L302">
        <v>13.16</v>
      </c>
      <c r="M302" t="s">
        <v>25</v>
      </c>
      <c r="N302" t="s">
        <v>44</v>
      </c>
      <c r="O302" t="s">
        <v>27</v>
      </c>
      <c r="P302">
        <v>5705.79</v>
      </c>
      <c r="Q302">
        <v>124103.02</v>
      </c>
      <c r="R302" t="s">
        <v>28</v>
      </c>
      <c r="S302" s="1">
        <v>45322</v>
      </c>
    </row>
    <row r="303" spans="1:19" x14ac:dyDescent="0.25">
      <c r="A303" s="5" t="s">
        <v>643</v>
      </c>
      <c r="B303" s="5" t="s">
        <v>644</v>
      </c>
      <c r="C303" s="5" t="s">
        <v>31</v>
      </c>
      <c r="D303" s="5">
        <v>28</v>
      </c>
      <c r="E303" s="5" t="s">
        <v>32</v>
      </c>
      <c r="F303" s="5" t="s">
        <v>23</v>
      </c>
      <c r="G303" s="5" t="s">
        <v>33</v>
      </c>
      <c r="H303" s="5">
        <v>1171876</v>
      </c>
      <c r="I303">
        <v>692</v>
      </c>
      <c r="J303">
        <v>247687</v>
      </c>
      <c r="K303">
        <v>240</v>
      </c>
      <c r="L303">
        <v>12.41</v>
      </c>
      <c r="M303" t="s">
        <v>54</v>
      </c>
      <c r="N303" t="s">
        <v>44</v>
      </c>
      <c r="O303" t="s">
        <v>27</v>
      </c>
      <c r="P303">
        <v>1160.0999999999999</v>
      </c>
      <c r="Q303">
        <v>117373.24</v>
      </c>
      <c r="R303" t="s">
        <v>28</v>
      </c>
      <c r="S303" s="1">
        <v>45993</v>
      </c>
    </row>
    <row r="304" spans="1:19" x14ac:dyDescent="0.25">
      <c r="A304" s="5" t="s">
        <v>645</v>
      </c>
      <c r="B304" s="5" t="s">
        <v>646</v>
      </c>
      <c r="C304" s="5" t="s">
        <v>21</v>
      </c>
      <c r="D304" s="5">
        <v>39</v>
      </c>
      <c r="E304" s="5" t="s">
        <v>22</v>
      </c>
      <c r="F304" s="5" t="s">
        <v>42</v>
      </c>
      <c r="G304" s="5" t="s">
        <v>33</v>
      </c>
      <c r="H304" s="5">
        <v>1124184</v>
      </c>
      <c r="I304">
        <v>717</v>
      </c>
      <c r="J304">
        <v>1341005</v>
      </c>
      <c r="K304">
        <v>84</v>
      </c>
      <c r="L304">
        <v>15.4</v>
      </c>
      <c r="M304" t="s">
        <v>54</v>
      </c>
      <c r="N304" t="s">
        <v>104</v>
      </c>
      <c r="O304" t="s">
        <v>27</v>
      </c>
      <c r="P304">
        <v>18422.849999999999</v>
      </c>
      <c r="Q304">
        <v>1173523.95</v>
      </c>
      <c r="R304" t="s">
        <v>28</v>
      </c>
      <c r="S304" s="1">
        <v>45425</v>
      </c>
    </row>
    <row r="305" spans="1:19" x14ac:dyDescent="0.25">
      <c r="A305" s="5" t="s">
        <v>647</v>
      </c>
      <c r="B305" s="5" t="s">
        <v>648</v>
      </c>
      <c r="C305" s="5" t="s">
        <v>21</v>
      </c>
      <c r="D305" s="5">
        <v>37</v>
      </c>
      <c r="E305" s="5" t="s">
        <v>22</v>
      </c>
      <c r="F305" s="5" t="s">
        <v>23</v>
      </c>
      <c r="G305" s="5" t="s">
        <v>24</v>
      </c>
      <c r="H305" s="5">
        <v>1238334</v>
      </c>
      <c r="I305">
        <v>745</v>
      </c>
      <c r="J305">
        <v>299269</v>
      </c>
      <c r="K305">
        <v>240</v>
      </c>
      <c r="L305">
        <v>12.25</v>
      </c>
      <c r="M305" t="s">
        <v>43</v>
      </c>
      <c r="N305" t="s">
        <v>26</v>
      </c>
      <c r="O305" t="s">
        <v>27</v>
      </c>
      <c r="P305">
        <v>1399.71</v>
      </c>
      <c r="Q305">
        <v>248987.1</v>
      </c>
      <c r="R305" t="s">
        <v>28</v>
      </c>
      <c r="S305" s="1">
        <v>45597</v>
      </c>
    </row>
    <row r="306" spans="1:19" x14ac:dyDescent="0.25">
      <c r="A306" s="5" t="s">
        <v>649</v>
      </c>
      <c r="B306" s="5" t="s">
        <v>650</v>
      </c>
      <c r="C306" s="5" t="s">
        <v>21</v>
      </c>
      <c r="D306" s="5">
        <v>28</v>
      </c>
      <c r="E306" s="5" t="s">
        <v>22</v>
      </c>
      <c r="F306" s="5" t="s">
        <v>42</v>
      </c>
      <c r="G306" s="5" t="s">
        <v>24</v>
      </c>
      <c r="H306" s="5">
        <v>1664414</v>
      </c>
      <c r="I306">
        <v>819</v>
      </c>
      <c r="J306">
        <v>241850</v>
      </c>
      <c r="K306">
        <v>240</v>
      </c>
      <c r="L306">
        <v>9.6300000000000008</v>
      </c>
      <c r="M306" t="s">
        <v>25</v>
      </c>
      <c r="N306" t="s">
        <v>38</v>
      </c>
      <c r="O306" t="s">
        <v>27</v>
      </c>
      <c r="P306">
        <v>1104.75</v>
      </c>
      <c r="Q306">
        <v>64280.89</v>
      </c>
      <c r="R306" t="s">
        <v>28</v>
      </c>
      <c r="S306" s="1">
        <v>45655</v>
      </c>
    </row>
    <row r="307" spans="1:19" x14ac:dyDescent="0.25">
      <c r="A307" s="5" t="s">
        <v>651</v>
      </c>
      <c r="B307" s="5" t="s">
        <v>652</v>
      </c>
      <c r="C307" s="5" t="s">
        <v>31</v>
      </c>
      <c r="D307" s="5">
        <v>43</v>
      </c>
      <c r="E307" s="5" t="s">
        <v>22</v>
      </c>
      <c r="F307" s="5" t="s">
        <v>42</v>
      </c>
      <c r="G307" s="5" t="s">
        <v>24</v>
      </c>
      <c r="H307" s="5">
        <v>749908</v>
      </c>
      <c r="I307">
        <v>729</v>
      </c>
      <c r="J307">
        <v>515091</v>
      </c>
      <c r="K307">
        <v>84</v>
      </c>
      <c r="L307">
        <v>9.39</v>
      </c>
      <c r="M307" t="s">
        <v>43</v>
      </c>
      <c r="N307" t="s">
        <v>34</v>
      </c>
      <c r="O307" t="s">
        <v>27</v>
      </c>
      <c r="P307">
        <v>6707.83</v>
      </c>
      <c r="Q307">
        <v>460694.77</v>
      </c>
      <c r="R307" t="s">
        <v>28</v>
      </c>
      <c r="S307" s="1">
        <v>45530</v>
      </c>
    </row>
    <row r="308" spans="1:19" x14ac:dyDescent="0.25">
      <c r="A308" s="5" t="s">
        <v>653</v>
      </c>
      <c r="B308" s="5" t="s">
        <v>654</v>
      </c>
      <c r="C308" s="5" t="s">
        <v>21</v>
      </c>
      <c r="D308" s="5">
        <v>41</v>
      </c>
      <c r="E308" s="5" t="s">
        <v>22</v>
      </c>
      <c r="F308" s="5" t="s">
        <v>42</v>
      </c>
      <c r="G308" s="5" t="s">
        <v>33</v>
      </c>
      <c r="H308" s="5">
        <v>708113</v>
      </c>
      <c r="I308">
        <v>621</v>
      </c>
      <c r="J308">
        <v>593426</v>
      </c>
      <c r="K308">
        <v>120</v>
      </c>
      <c r="L308">
        <v>7.86</v>
      </c>
      <c r="M308" t="s">
        <v>54</v>
      </c>
      <c r="N308" t="s">
        <v>44</v>
      </c>
      <c r="O308" t="s">
        <v>39</v>
      </c>
      <c r="P308">
        <v>5333.91</v>
      </c>
      <c r="Q308">
        <v>527461.36</v>
      </c>
      <c r="R308" t="s">
        <v>28</v>
      </c>
      <c r="S308" s="1">
        <v>45870</v>
      </c>
    </row>
    <row r="309" spans="1:19" x14ac:dyDescent="0.25">
      <c r="A309" s="5" t="s">
        <v>655</v>
      </c>
      <c r="B309" s="5" t="s">
        <v>656</v>
      </c>
      <c r="C309" s="5" t="s">
        <v>31</v>
      </c>
      <c r="D309" s="5">
        <v>48</v>
      </c>
      <c r="E309" s="5" t="s">
        <v>22</v>
      </c>
      <c r="F309" s="5" t="s">
        <v>42</v>
      </c>
      <c r="G309" s="5" t="s">
        <v>24</v>
      </c>
      <c r="H309" s="5">
        <v>821313</v>
      </c>
      <c r="I309">
        <v>836</v>
      </c>
      <c r="J309">
        <v>1591886</v>
      </c>
      <c r="K309">
        <v>48</v>
      </c>
      <c r="L309">
        <v>8.3800000000000008</v>
      </c>
      <c r="M309" t="s">
        <v>57</v>
      </c>
      <c r="N309" t="s">
        <v>26</v>
      </c>
      <c r="O309" t="s">
        <v>27</v>
      </c>
      <c r="P309">
        <v>35943.46</v>
      </c>
      <c r="Q309">
        <v>780919.84</v>
      </c>
      <c r="R309" t="s">
        <v>28</v>
      </c>
      <c r="S309" s="1">
        <v>45601</v>
      </c>
    </row>
    <row r="310" spans="1:19" x14ac:dyDescent="0.25">
      <c r="A310" s="5" t="s">
        <v>657</v>
      </c>
      <c r="B310" s="5" t="s">
        <v>658</v>
      </c>
      <c r="C310" s="5" t="s">
        <v>21</v>
      </c>
      <c r="D310" s="5">
        <v>40</v>
      </c>
      <c r="E310" s="5" t="s">
        <v>32</v>
      </c>
      <c r="F310" s="5" t="s">
        <v>23</v>
      </c>
      <c r="G310" s="5" t="s">
        <v>33</v>
      </c>
      <c r="H310" s="5">
        <v>1438581</v>
      </c>
      <c r="I310">
        <v>638</v>
      </c>
      <c r="J310">
        <v>1510878</v>
      </c>
      <c r="K310">
        <v>60</v>
      </c>
      <c r="L310">
        <v>14.28</v>
      </c>
      <c r="M310" t="s">
        <v>43</v>
      </c>
      <c r="N310" t="s">
        <v>26</v>
      </c>
      <c r="O310" t="s">
        <v>39</v>
      </c>
      <c r="P310">
        <v>28777.19</v>
      </c>
      <c r="Q310">
        <v>547701.22</v>
      </c>
      <c r="R310" t="s">
        <v>28</v>
      </c>
      <c r="S310" s="1">
        <v>45751</v>
      </c>
    </row>
    <row r="311" spans="1:19" x14ac:dyDescent="0.25">
      <c r="A311" s="5" t="s">
        <v>659</v>
      </c>
      <c r="B311" s="5" t="s">
        <v>660</v>
      </c>
      <c r="C311" s="5" t="s">
        <v>21</v>
      </c>
      <c r="D311" s="5">
        <v>33</v>
      </c>
      <c r="E311" s="5" t="s">
        <v>22</v>
      </c>
      <c r="F311" s="5" t="s">
        <v>42</v>
      </c>
      <c r="G311" s="5" t="s">
        <v>24</v>
      </c>
      <c r="H311" s="5">
        <v>1413849</v>
      </c>
      <c r="I311">
        <v>670</v>
      </c>
      <c r="J311">
        <v>1722512</v>
      </c>
      <c r="K311">
        <v>48</v>
      </c>
      <c r="L311">
        <v>8.69</v>
      </c>
      <c r="M311" t="s">
        <v>25</v>
      </c>
      <c r="N311" t="s">
        <v>26</v>
      </c>
      <c r="O311" t="s">
        <v>27</v>
      </c>
      <c r="P311">
        <v>39004.129999999997</v>
      </c>
      <c r="Q311">
        <v>247115.93</v>
      </c>
      <c r="R311" t="s">
        <v>28</v>
      </c>
      <c r="S311" s="1">
        <v>45818</v>
      </c>
    </row>
    <row r="312" spans="1:19" x14ac:dyDescent="0.25">
      <c r="A312" s="5" t="s">
        <v>661</v>
      </c>
      <c r="B312" s="5" t="s">
        <v>662</v>
      </c>
      <c r="C312" s="5" t="s">
        <v>21</v>
      </c>
      <c r="D312" s="5">
        <v>49</v>
      </c>
      <c r="E312" s="5" t="s">
        <v>32</v>
      </c>
      <c r="F312" s="5" t="s">
        <v>23</v>
      </c>
      <c r="G312" s="5" t="s">
        <v>33</v>
      </c>
      <c r="H312" s="5">
        <v>1660889</v>
      </c>
      <c r="I312">
        <v>684</v>
      </c>
      <c r="J312">
        <v>1106428</v>
      </c>
      <c r="K312">
        <v>24</v>
      </c>
      <c r="L312">
        <v>13.15</v>
      </c>
      <c r="M312" t="s">
        <v>57</v>
      </c>
      <c r="N312" t="s">
        <v>44</v>
      </c>
      <c r="O312" t="s">
        <v>27</v>
      </c>
      <c r="P312">
        <v>52163.47</v>
      </c>
      <c r="Q312">
        <v>844277.13</v>
      </c>
      <c r="R312" t="s">
        <v>28</v>
      </c>
      <c r="S312" s="1">
        <v>45731</v>
      </c>
    </row>
    <row r="313" spans="1:19" x14ac:dyDescent="0.25">
      <c r="A313" s="5" t="s">
        <v>663</v>
      </c>
      <c r="B313" s="5" t="s">
        <v>664</v>
      </c>
      <c r="C313" s="5" t="s">
        <v>21</v>
      </c>
      <c r="D313" s="5">
        <v>56</v>
      </c>
      <c r="E313" s="5" t="s">
        <v>22</v>
      </c>
      <c r="F313" s="5" t="s">
        <v>23</v>
      </c>
      <c r="G313" s="5" t="s">
        <v>24</v>
      </c>
      <c r="H313" s="5">
        <v>529494</v>
      </c>
      <c r="I313">
        <v>578</v>
      </c>
      <c r="J313">
        <v>831237</v>
      </c>
      <c r="K313">
        <v>48</v>
      </c>
      <c r="L313">
        <v>14.39</v>
      </c>
      <c r="M313" t="s">
        <v>25</v>
      </c>
      <c r="N313" t="s">
        <v>51</v>
      </c>
      <c r="O313" t="s">
        <v>39</v>
      </c>
      <c r="P313">
        <v>19809.419999999998</v>
      </c>
      <c r="Q313">
        <v>244129.59</v>
      </c>
      <c r="R313" t="s">
        <v>28</v>
      </c>
      <c r="S313" s="1">
        <v>45970</v>
      </c>
    </row>
    <row r="314" spans="1:19" x14ac:dyDescent="0.25">
      <c r="A314" s="5" t="s">
        <v>665</v>
      </c>
      <c r="B314" s="5" t="s">
        <v>666</v>
      </c>
      <c r="C314" s="5" t="s">
        <v>21</v>
      </c>
      <c r="D314" s="5">
        <v>49</v>
      </c>
      <c r="E314" s="5" t="s">
        <v>22</v>
      </c>
      <c r="F314" s="5" t="s">
        <v>42</v>
      </c>
      <c r="G314" s="5" t="s">
        <v>33</v>
      </c>
      <c r="H314" s="5">
        <v>872603</v>
      </c>
      <c r="I314">
        <v>578</v>
      </c>
      <c r="J314">
        <v>719618</v>
      </c>
      <c r="K314">
        <v>60</v>
      </c>
      <c r="L314">
        <v>7.8</v>
      </c>
      <c r="M314" t="s">
        <v>57</v>
      </c>
      <c r="N314" t="s">
        <v>104</v>
      </c>
      <c r="O314" t="s">
        <v>39</v>
      </c>
      <c r="P314">
        <v>12929.14</v>
      </c>
      <c r="Q314">
        <v>331851.45</v>
      </c>
      <c r="R314" t="s">
        <v>28</v>
      </c>
      <c r="S314" s="1">
        <v>45912</v>
      </c>
    </row>
    <row r="315" spans="1:19" x14ac:dyDescent="0.25">
      <c r="A315" s="5" t="s">
        <v>667</v>
      </c>
      <c r="B315" s="5" t="s">
        <v>668</v>
      </c>
      <c r="C315" s="5" t="s">
        <v>21</v>
      </c>
      <c r="D315" s="5">
        <v>56</v>
      </c>
      <c r="E315" s="5" t="s">
        <v>22</v>
      </c>
      <c r="F315" s="5" t="s">
        <v>23</v>
      </c>
      <c r="G315" s="5" t="s">
        <v>33</v>
      </c>
      <c r="H315" s="5">
        <v>856503</v>
      </c>
      <c r="I315">
        <v>629</v>
      </c>
      <c r="J315">
        <v>1208114</v>
      </c>
      <c r="K315">
        <v>36</v>
      </c>
      <c r="L315">
        <v>11.29</v>
      </c>
      <c r="M315" t="s">
        <v>25</v>
      </c>
      <c r="N315" t="s">
        <v>26</v>
      </c>
      <c r="O315" t="s">
        <v>27</v>
      </c>
      <c r="P315">
        <v>37347.5</v>
      </c>
      <c r="Q315">
        <v>519553.16</v>
      </c>
      <c r="R315" t="s">
        <v>28</v>
      </c>
      <c r="S315" s="1">
        <v>45961</v>
      </c>
    </row>
    <row r="316" spans="1:19" x14ac:dyDescent="0.25">
      <c r="A316" s="5" t="s">
        <v>669</v>
      </c>
      <c r="B316" s="5" t="s">
        <v>670</v>
      </c>
      <c r="C316" s="5" t="s">
        <v>21</v>
      </c>
      <c r="D316" s="5">
        <v>34</v>
      </c>
      <c r="E316" s="5" t="s">
        <v>22</v>
      </c>
      <c r="F316" s="5" t="s">
        <v>42</v>
      </c>
      <c r="G316" s="5" t="s">
        <v>24</v>
      </c>
      <c r="H316" s="5">
        <v>1992888</v>
      </c>
      <c r="I316">
        <v>626</v>
      </c>
      <c r="J316">
        <v>1554495</v>
      </c>
      <c r="K316">
        <v>84</v>
      </c>
      <c r="L316">
        <v>14.02</v>
      </c>
      <c r="M316" t="s">
        <v>54</v>
      </c>
      <c r="N316" t="s">
        <v>104</v>
      </c>
      <c r="O316" t="s">
        <v>39</v>
      </c>
      <c r="P316">
        <v>21100.42</v>
      </c>
      <c r="Q316">
        <v>328485.12</v>
      </c>
      <c r="R316" t="s">
        <v>28</v>
      </c>
      <c r="S316" s="1">
        <v>45704</v>
      </c>
    </row>
    <row r="317" spans="1:19" x14ac:dyDescent="0.25">
      <c r="A317" s="5" t="s">
        <v>671</v>
      </c>
      <c r="B317" s="5" t="s">
        <v>672</v>
      </c>
      <c r="C317" s="5" t="s">
        <v>21</v>
      </c>
      <c r="D317" s="5">
        <v>35</v>
      </c>
      <c r="E317" s="5" t="s">
        <v>22</v>
      </c>
      <c r="F317" s="5" t="s">
        <v>23</v>
      </c>
      <c r="G317" s="5" t="s">
        <v>33</v>
      </c>
      <c r="H317" s="5">
        <v>1554803</v>
      </c>
      <c r="I317">
        <v>579</v>
      </c>
      <c r="J317">
        <v>945766</v>
      </c>
      <c r="K317">
        <v>24</v>
      </c>
      <c r="L317">
        <v>12.9</v>
      </c>
      <c r="M317" t="s">
        <v>43</v>
      </c>
      <c r="N317" t="s">
        <v>38</v>
      </c>
      <c r="O317" t="s">
        <v>27</v>
      </c>
      <c r="P317">
        <v>44490.41</v>
      </c>
      <c r="Q317">
        <v>371643.16</v>
      </c>
      <c r="R317" t="s">
        <v>28</v>
      </c>
      <c r="S317" s="1">
        <v>45568</v>
      </c>
    </row>
    <row r="318" spans="1:19" x14ac:dyDescent="0.25">
      <c r="A318" s="5" t="s">
        <v>673</v>
      </c>
      <c r="B318" s="5" t="s">
        <v>674</v>
      </c>
      <c r="C318" s="5" t="s">
        <v>31</v>
      </c>
      <c r="D318" s="5">
        <v>52</v>
      </c>
      <c r="E318" s="5" t="s">
        <v>22</v>
      </c>
      <c r="F318" s="5" t="s">
        <v>23</v>
      </c>
      <c r="G318" s="5" t="s">
        <v>33</v>
      </c>
      <c r="H318" s="5">
        <v>392624</v>
      </c>
      <c r="I318">
        <v>550</v>
      </c>
      <c r="J318">
        <v>932835</v>
      </c>
      <c r="K318">
        <v>12</v>
      </c>
      <c r="L318">
        <v>12.53</v>
      </c>
      <c r="M318" t="s">
        <v>25</v>
      </c>
      <c r="N318" t="s">
        <v>104</v>
      </c>
      <c r="O318" t="s">
        <v>27</v>
      </c>
      <c r="P318">
        <v>87476.6</v>
      </c>
      <c r="Q318">
        <v>210573.73</v>
      </c>
      <c r="R318" t="s">
        <v>35</v>
      </c>
      <c r="S318" s="1">
        <v>46015</v>
      </c>
    </row>
    <row r="319" spans="1:19" x14ac:dyDescent="0.25">
      <c r="A319" s="5" t="s">
        <v>675</v>
      </c>
      <c r="B319" s="5" t="s">
        <v>676</v>
      </c>
      <c r="C319" s="5" t="s">
        <v>21</v>
      </c>
      <c r="D319" s="5">
        <v>39</v>
      </c>
      <c r="E319" s="5" t="s">
        <v>22</v>
      </c>
      <c r="F319" s="5" t="s">
        <v>23</v>
      </c>
      <c r="G319" s="5" t="s">
        <v>33</v>
      </c>
      <c r="H319" s="5">
        <v>1879012</v>
      </c>
      <c r="I319">
        <v>778</v>
      </c>
      <c r="J319">
        <v>401461</v>
      </c>
      <c r="K319">
        <v>12</v>
      </c>
      <c r="L319">
        <v>13.56</v>
      </c>
      <c r="M319" t="s">
        <v>57</v>
      </c>
      <c r="N319" t="s">
        <v>38</v>
      </c>
      <c r="O319" t="s">
        <v>27</v>
      </c>
      <c r="P319">
        <v>37991.589999999997</v>
      </c>
      <c r="Q319">
        <v>388680.84</v>
      </c>
      <c r="R319" t="s">
        <v>28</v>
      </c>
      <c r="S319" s="1">
        <v>45910</v>
      </c>
    </row>
    <row r="320" spans="1:19" x14ac:dyDescent="0.25">
      <c r="A320" s="5" t="s">
        <v>677</v>
      </c>
      <c r="B320" s="5" t="s">
        <v>678</v>
      </c>
      <c r="C320" s="5" t="s">
        <v>31</v>
      </c>
      <c r="D320" s="5">
        <v>52</v>
      </c>
      <c r="E320" s="5" t="s">
        <v>22</v>
      </c>
      <c r="F320" s="5" t="s">
        <v>23</v>
      </c>
      <c r="G320" s="5" t="s">
        <v>24</v>
      </c>
      <c r="H320" s="5">
        <v>1543189</v>
      </c>
      <c r="I320">
        <v>771</v>
      </c>
      <c r="J320">
        <v>981028</v>
      </c>
      <c r="K320">
        <v>48</v>
      </c>
      <c r="L320">
        <v>12.36</v>
      </c>
      <c r="M320" t="s">
        <v>57</v>
      </c>
      <c r="N320" t="s">
        <v>51</v>
      </c>
      <c r="O320" t="s">
        <v>27</v>
      </c>
      <c r="P320">
        <v>22964.23</v>
      </c>
      <c r="Q320">
        <v>269231.14</v>
      </c>
      <c r="R320" t="s">
        <v>28</v>
      </c>
      <c r="S320" s="1">
        <v>45486</v>
      </c>
    </row>
    <row r="321" spans="1:19" x14ac:dyDescent="0.25">
      <c r="A321" s="5" t="s">
        <v>679</v>
      </c>
      <c r="B321" s="5" t="s">
        <v>680</v>
      </c>
      <c r="C321" s="5" t="s">
        <v>31</v>
      </c>
      <c r="D321" s="5">
        <v>57</v>
      </c>
      <c r="E321" s="5" t="s">
        <v>32</v>
      </c>
      <c r="F321" s="5" t="s">
        <v>42</v>
      </c>
      <c r="G321" s="5" t="s">
        <v>24</v>
      </c>
      <c r="H321" s="5">
        <v>632864</v>
      </c>
      <c r="I321">
        <v>773</v>
      </c>
      <c r="J321">
        <v>467818</v>
      </c>
      <c r="K321">
        <v>84</v>
      </c>
      <c r="L321">
        <v>15.23</v>
      </c>
      <c r="M321" t="s">
        <v>43</v>
      </c>
      <c r="N321" t="s">
        <v>44</v>
      </c>
      <c r="O321" t="s">
        <v>27</v>
      </c>
      <c r="P321">
        <v>6417.46</v>
      </c>
      <c r="Q321">
        <v>250753.67</v>
      </c>
      <c r="R321" t="s">
        <v>28</v>
      </c>
      <c r="S321" s="1">
        <v>45543</v>
      </c>
    </row>
    <row r="322" spans="1:19" x14ac:dyDescent="0.25">
      <c r="A322" s="5" t="s">
        <v>681</v>
      </c>
      <c r="B322" s="5" t="s">
        <v>682</v>
      </c>
      <c r="C322" s="5" t="s">
        <v>31</v>
      </c>
      <c r="D322" s="5">
        <v>40</v>
      </c>
      <c r="E322" s="5" t="s">
        <v>32</v>
      </c>
      <c r="F322" s="5" t="s">
        <v>23</v>
      </c>
      <c r="G322" s="5" t="s">
        <v>33</v>
      </c>
      <c r="H322" s="5">
        <v>1258814</v>
      </c>
      <c r="I322">
        <v>586</v>
      </c>
      <c r="J322">
        <v>107632</v>
      </c>
      <c r="K322">
        <v>36</v>
      </c>
      <c r="L322">
        <v>14.9</v>
      </c>
      <c r="M322" t="s">
        <v>43</v>
      </c>
      <c r="N322" t="s">
        <v>34</v>
      </c>
      <c r="O322" t="s">
        <v>27</v>
      </c>
      <c r="P322">
        <v>3435.25</v>
      </c>
      <c r="Q322">
        <v>37884.01</v>
      </c>
      <c r="R322" t="s">
        <v>28</v>
      </c>
      <c r="S322" s="1">
        <v>45839</v>
      </c>
    </row>
    <row r="323" spans="1:19" x14ac:dyDescent="0.25">
      <c r="A323" s="5" t="s">
        <v>683</v>
      </c>
      <c r="B323" s="5" t="s">
        <v>684</v>
      </c>
      <c r="C323" s="5" t="s">
        <v>31</v>
      </c>
      <c r="D323" s="5">
        <v>58</v>
      </c>
      <c r="E323" s="5" t="s">
        <v>22</v>
      </c>
      <c r="F323" s="5" t="s">
        <v>42</v>
      </c>
      <c r="G323" s="5" t="s">
        <v>33</v>
      </c>
      <c r="H323" s="5">
        <v>677384</v>
      </c>
      <c r="I323">
        <v>583</v>
      </c>
      <c r="J323">
        <v>831879</v>
      </c>
      <c r="K323">
        <v>240</v>
      </c>
      <c r="L323">
        <v>13.07</v>
      </c>
      <c r="M323" t="s">
        <v>54</v>
      </c>
      <c r="N323" t="s">
        <v>104</v>
      </c>
      <c r="O323" t="s">
        <v>27</v>
      </c>
      <c r="P323">
        <v>3919.19</v>
      </c>
      <c r="Q323">
        <v>746974.79</v>
      </c>
      <c r="R323" t="s">
        <v>28</v>
      </c>
      <c r="S323" s="1">
        <v>45927</v>
      </c>
    </row>
    <row r="324" spans="1:19" x14ac:dyDescent="0.25">
      <c r="A324" s="5" t="s">
        <v>685</v>
      </c>
      <c r="B324" s="5" t="s">
        <v>686</v>
      </c>
      <c r="C324" s="5" t="s">
        <v>31</v>
      </c>
      <c r="D324" s="5">
        <v>57</v>
      </c>
      <c r="E324" s="5" t="s">
        <v>32</v>
      </c>
      <c r="F324" s="5" t="s">
        <v>23</v>
      </c>
      <c r="G324" s="5" t="s">
        <v>24</v>
      </c>
      <c r="H324" s="5">
        <v>658549</v>
      </c>
      <c r="I324">
        <v>661</v>
      </c>
      <c r="J324">
        <v>667643</v>
      </c>
      <c r="K324">
        <v>84</v>
      </c>
      <c r="L324">
        <v>8.41</v>
      </c>
      <c r="M324" t="s">
        <v>43</v>
      </c>
      <c r="N324" t="s">
        <v>51</v>
      </c>
      <c r="O324" t="s">
        <v>27</v>
      </c>
      <c r="P324">
        <v>8616.57</v>
      </c>
      <c r="Q324">
        <v>504624.7</v>
      </c>
      <c r="R324" t="s">
        <v>28</v>
      </c>
      <c r="S324" s="1">
        <v>45616</v>
      </c>
    </row>
    <row r="325" spans="1:19" x14ac:dyDescent="0.25">
      <c r="A325" s="5" t="s">
        <v>687</v>
      </c>
      <c r="B325" s="5" t="s">
        <v>688</v>
      </c>
      <c r="C325" s="5" t="s">
        <v>31</v>
      </c>
      <c r="D325" s="5">
        <v>35</v>
      </c>
      <c r="E325" s="5" t="s">
        <v>22</v>
      </c>
      <c r="F325" s="5" t="s">
        <v>42</v>
      </c>
      <c r="G325" s="5" t="s">
        <v>24</v>
      </c>
      <c r="H325" s="5">
        <v>1974734</v>
      </c>
      <c r="I325">
        <v>643</v>
      </c>
      <c r="J325">
        <v>1476729</v>
      </c>
      <c r="K325">
        <v>60</v>
      </c>
      <c r="L325">
        <v>14.74</v>
      </c>
      <c r="M325" t="s">
        <v>43</v>
      </c>
      <c r="N325" t="s">
        <v>44</v>
      </c>
      <c r="O325" t="s">
        <v>27</v>
      </c>
      <c r="P325">
        <v>28239.98</v>
      </c>
      <c r="Q325">
        <v>559968.1</v>
      </c>
      <c r="R325" t="s">
        <v>28</v>
      </c>
      <c r="S325" s="1">
        <v>45664</v>
      </c>
    </row>
    <row r="326" spans="1:19" x14ac:dyDescent="0.25">
      <c r="A326" s="5" t="s">
        <v>689</v>
      </c>
      <c r="B326" s="5" t="s">
        <v>690</v>
      </c>
      <c r="C326" s="5" t="s">
        <v>31</v>
      </c>
      <c r="D326" s="5">
        <v>37</v>
      </c>
      <c r="E326" s="5" t="s">
        <v>32</v>
      </c>
      <c r="F326" s="5" t="s">
        <v>23</v>
      </c>
      <c r="G326" s="5" t="s">
        <v>33</v>
      </c>
      <c r="H326" s="5">
        <v>1249742</v>
      </c>
      <c r="I326">
        <v>749</v>
      </c>
      <c r="J326">
        <v>520578</v>
      </c>
      <c r="K326">
        <v>24</v>
      </c>
      <c r="L326">
        <v>13.56</v>
      </c>
      <c r="M326" t="s">
        <v>5</v>
      </c>
      <c r="N326" t="s">
        <v>44</v>
      </c>
      <c r="O326" t="s">
        <v>27</v>
      </c>
      <c r="P326">
        <v>24632.02</v>
      </c>
      <c r="Q326">
        <v>136062.35</v>
      </c>
      <c r="R326" t="s">
        <v>28</v>
      </c>
      <c r="S326" s="1">
        <v>45603</v>
      </c>
    </row>
    <row r="327" spans="1:19" x14ac:dyDescent="0.25">
      <c r="A327" s="5" t="s">
        <v>691</v>
      </c>
      <c r="B327" s="5" t="s">
        <v>692</v>
      </c>
      <c r="C327" s="5" t="s">
        <v>31</v>
      </c>
      <c r="D327" s="5">
        <v>49</v>
      </c>
      <c r="E327" s="5" t="s">
        <v>22</v>
      </c>
      <c r="F327" s="5" t="s">
        <v>42</v>
      </c>
      <c r="G327" s="5" t="s">
        <v>24</v>
      </c>
      <c r="H327" s="5">
        <v>1975474</v>
      </c>
      <c r="I327">
        <v>689</v>
      </c>
      <c r="J327">
        <v>1013063</v>
      </c>
      <c r="K327">
        <v>120</v>
      </c>
      <c r="L327">
        <v>12.31</v>
      </c>
      <c r="M327" t="s">
        <v>54</v>
      </c>
      <c r="N327" t="s">
        <v>26</v>
      </c>
      <c r="O327" t="s">
        <v>27</v>
      </c>
      <c r="P327">
        <v>9481.43</v>
      </c>
      <c r="Q327">
        <v>728363.24</v>
      </c>
      <c r="R327" t="s">
        <v>28</v>
      </c>
      <c r="S327" s="1">
        <v>45862</v>
      </c>
    </row>
    <row r="328" spans="1:19" x14ac:dyDescent="0.25">
      <c r="A328" s="5" t="s">
        <v>693</v>
      </c>
      <c r="B328" s="5" t="s">
        <v>694</v>
      </c>
      <c r="C328" s="5" t="s">
        <v>31</v>
      </c>
      <c r="D328" s="5">
        <v>37</v>
      </c>
      <c r="E328" s="5" t="s">
        <v>22</v>
      </c>
      <c r="F328" s="5" t="s">
        <v>42</v>
      </c>
      <c r="G328" s="5" t="s">
        <v>24</v>
      </c>
      <c r="H328" s="5">
        <v>1188274</v>
      </c>
      <c r="I328">
        <v>669</v>
      </c>
      <c r="J328">
        <v>1508736</v>
      </c>
      <c r="K328">
        <v>36</v>
      </c>
      <c r="L328">
        <v>15.47</v>
      </c>
      <c r="M328" t="s">
        <v>5</v>
      </c>
      <c r="N328" t="s">
        <v>38</v>
      </c>
      <c r="O328" t="s">
        <v>27</v>
      </c>
      <c r="P328">
        <v>48392.71</v>
      </c>
      <c r="Q328">
        <v>780728.25</v>
      </c>
      <c r="R328" t="s">
        <v>28</v>
      </c>
      <c r="S328" s="1">
        <v>45746</v>
      </c>
    </row>
    <row r="329" spans="1:19" x14ac:dyDescent="0.25">
      <c r="A329" s="5" t="s">
        <v>695</v>
      </c>
      <c r="B329" s="5" t="s">
        <v>696</v>
      </c>
      <c r="C329" s="5" t="s">
        <v>21</v>
      </c>
      <c r="D329" s="5">
        <v>39</v>
      </c>
      <c r="E329" s="5" t="s">
        <v>32</v>
      </c>
      <c r="F329" s="5" t="s">
        <v>23</v>
      </c>
      <c r="G329" s="5" t="s">
        <v>33</v>
      </c>
      <c r="H329" s="5">
        <v>1614387</v>
      </c>
      <c r="I329">
        <v>604</v>
      </c>
      <c r="J329">
        <v>1884410</v>
      </c>
      <c r="K329">
        <v>180</v>
      </c>
      <c r="L329">
        <v>8.06</v>
      </c>
      <c r="M329" t="s">
        <v>43</v>
      </c>
      <c r="N329" t="s">
        <v>51</v>
      </c>
      <c r="O329" t="s">
        <v>39</v>
      </c>
      <c r="P329">
        <v>11312.74</v>
      </c>
      <c r="Q329">
        <v>1106364.1299999999</v>
      </c>
      <c r="R329" t="s">
        <v>28</v>
      </c>
      <c r="S329" s="1">
        <v>45797</v>
      </c>
    </row>
    <row r="330" spans="1:19" x14ac:dyDescent="0.25">
      <c r="A330" s="5" t="s">
        <v>697</v>
      </c>
      <c r="B330" s="5" t="s">
        <v>698</v>
      </c>
      <c r="C330" s="5" t="s">
        <v>21</v>
      </c>
      <c r="D330" s="5">
        <v>42</v>
      </c>
      <c r="E330" s="5" t="s">
        <v>22</v>
      </c>
      <c r="F330" s="5" t="s">
        <v>42</v>
      </c>
      <c r="G330" s="5" t="s">
        <v>24</v>
      </c>
      <c r="H330" s="5">
        <v>1742594</v>
      </c>
      <c r="I330">
        <v>794</v>
      </c>
      <c r="J330">
        <v>1101295</v>
      </c>
      <c r="K330">
        <v>48</v>
      </c>
      <c r="L330">
        <v>14.82</v>
      </c>
      <c r="M330" t="s">
        <v>5</v>
      </c>
      <c r="N330" t="s">
        <v>38</v>
      </c>
      <c r="O330" t="s">
        <v>27</v>
      </c>
      <c r="P330">
        <v>26343.89</v>
      </c>
      <c r="Q330">
        <v>733657.48</v>
      </c>
      <c r="R330" t="s">
        <v>28</v>
      </c>
      <c r="S330" s="1">
        <v>45780</v>
      </c>
    </row>
    <row r="331" spans="1:19" x14ac:dyDescent="0.25">
      <c r="A331" s="5" t="s">
        <v>699</v>
      </c>
      <c r="B331" s="5" t="s">
        <v>700</v>
      </c>
      <c r="C331" s="5" t="s">
        <v>21</v>
      </c>
      <c r="D331" s="5">
        <v>58</v>
      </c>
      <c r="E331" s="5" t="s">
        <v>32</v>
      </c>
      <c r="F331" s="5" t="s">
        <v>42</v>
      </c>
      <c r="G331" s="5" t="s">
        <v>24</v>
      </c>
      <c r="H331" s="5">
        <v>885138</v>
      </c>
      <c r="I331">
        <v>773</v>
      </c>
      <c r="J331">
        <v>1043657</v>
      </c>
      <c r="K331">
        <v>180</v>
      </c>
      <c r="L331">
        <v>15.25</v>
      </c>
      <c r="M331" t="s">
        <v>43</v>
      </c>
      <c r="N331" t="s">
        <v>44</v>
      </c>
      <c r="O331" t="s">
        <v>27</v>
      </c>
      <c r="P331">
        <v>6682.3</v>
      </c>
      <c r="Q331">
        <v>281809.69</v>
      </c>
      <c r="R331" t="s">
        <v>28</v>
      </c>
      <c r="S331" s="1">
        <v>45506</v>
      </c>
    </row>
    <row r="332" spans="1:19" x14ac:dyDescent="0.25">
      <c r="A332" s="5" t="s">
        <v>701</v>
      </c>
      <c r="B332" s="5" t="s">
        <v>702</v>
      </c>
      <c r="C332" s="5" t="s">
        <v>31</v>
      </c>
      <c r="D332" s="5">
        <v>32</v>
      </c>
      <c r="E332" s="5" t="s">
        <v>22</v>
      </c>
      <c r="F332" s="5" t="s">
        <v>23</v>
      </c>
      <c r="G332" s="5" t="s">
        <v>24</v>
      </c>
      <c r="H332" s="5">
        <v>718705</v>
      </c>
      <c r="I332">
        <v>675</v>
      </c>
      <c r="J332">
        <v>1246193</v>
      </c>
      <c r="K332">
        <v>84</v>
      </c>
      <c r="L332">
        <v>10.08</v>
      </c>
      <c r="M332" t="s">
        <v>5</v>
      </c>
      <c r="N332" t="s">
        <v>38</v>
      </c>
      <c r="O332" t="s">
        <v>27</v>
      </c>
      <c r="P332">
        <v>16331.06</v>
      </c>
      <c r="Q332">
        <v>652369.48</v>
      </c>
      <c r="R332" t="s">
        <v>28</v>
      </c>
      <c r="S332" s="1">
        <v>45426</v>
      </c>
    </row>
    <row r="333" spans="1:19" x14ac:dyDescent="0.25">
      <c r="A333" s="5" t="s">
        <v>703</v>
      </c>
      <c r="B333" s="5" t="s">
        <v>704</v>
      </c>
      <c r="C333" s="5" t="s">
        <v>31</v>
      </c>
      <c r="D333" s="5">
        <v>37</v>
      </c>
      <c r="E333" s="5" t="s">
        <v>22</v>
      </c>
      <c r="F333" s="5" t="s">
        <v>23</v>
      </c>
      <c r="G333" s="5" t="s">
        <v>24</v>
      </c>
      <c r="H333" s="5">
        <v>1275508</v>
      </c>
      <c r="I333">
        <v>605</v>
      </c>
      <c r="J333">
        <v>995441</v>
      </c>
      <c r="K333">
        <v>180</v>
      </c>
      <c r="L333">
        <v>13.44</v>
      </c>
      <c r="M333" t="s">
        <v>43</v>
      </c>
      <c r="N333" t="s">
        <v>26</v>
      </c>
      <c r="O333" t="s">
        <v>27</v>
      </c>
      <c r="P333">
        <v>6273.49</v>
      </c>
      <c r="Q333">
        <v>426661.79</v>
      </c>
      <c r="R333" t="s">
        <v>28</v>
      </c>
      <c r="S333" s="1">
        <v>45913</v>
      </c>
    </row>
    <row r="334" spans="1:19" x14ac:dyDescent="0.25">
      <c r="A334" s="5" t="s">
        <v>705</v>
      </c>
      <c r="B334" s="5" t="s">
        <v>706</v>
      </c>
      <c r="C334" s="5" t="s">
        <v>31</v>
      </c>
      <c r="D334" s="5">
        <v>41</v>
      </c>
      <c r="E334" s="5" t="s">
        <v>32</v>
      </c>
      <c r="F334" s="5" t="s">
        <v>23</v>
      </c>
      <c r="G334" s="5" t="s">
        <v>33</v>
      </c>
      <c r="H334" s="5">
        <v>1426194</v>
      </c>
      <c r="I334">
        <v>557</v>
      </c>
      <c r="J334">
        <v>1687117</v>
      </c>
      <c r="K334">
        <v>84</v>
      </c>
      <c r="L334">
        <v>13.03</v>
      </c>
      <c r="M334" t="s">
        <v>5</v>
      </c>
      <c r="N334" t="s">
        <v>34</v>
      </c>
      <c r="O334" t="s">
        <v>39</v>
      </c>
      <c r="P334">
        <v>22701.77</v>
      </c>
      <c r="Q334">
        <v>1451055.39</v>
      </c>
      <c r="R334" t="s">
        <v>28</v>
      </c>
      <c r="S334" s="1">
        <v>45721</v>
      </c>
    </row>
    <row r="335" spans="1:19" x14ac:dyDescent="0.25">
      <c r="A335" s="5" t="s">
        <v>707</v>
      </c>
      <c r="B335" s="5" t="s">
        <v>708</v>
      </c>
      <c r="C335" s="5" t="s">
        <v>21</v>
      </c>
      <c r="D335" s="5">
        <v>25</v>
      </c>
      <c r="E335" s="5" t="s">
        <v>22</v>
      </c>
      <c r="F335" s="5" t="s">
        <v>23</v>
      </c>
      <c r="G335" s="5" t="s">
        <v>33</v>
      </c>
      <c r="H335" s="5">
        <v>1042833</v>
      </c>
      <c r="I335">
        <v>709</v>
      </c>
      <c r="J335">
        <v>1241802</v>
      </c>
      <c r="K335">
        <v>12</v>
      </c>
      <c r="L335">
        <v>13.72</v>
      </c>
      <c r="M335" t="s">
        <v>43</v>
      </c>
      <c r="N335" t="s">
        <v>38</v>
      </c>
      <c r="O335" t="s">
        <v>27</v>
      </c>
      <c r="P335">
        <v>117681.44</v>
      </c>
      <c r="Q335">
        <v>908871.68000000005</v>
      </c>
      <c r="R335" t="s">
        <v>28</v>
      </c>
      <c r="S335" s="1">
        <v>45907</v>
      </c>
    </row>
    <row r="336" spans="1:19" x14ac:dyDescent="0.25">
      <c r="A336" s="5" t="s">
        <v>709</v>
      </c>
      <c r="B336" s="5" t="s">
        <v>710</v>
      </c>
      <c r="C336" s="5" t="s">
        <v>31</v>
      </c>
      <c r="D336" s="5">
        <v>54</v>
      </c>
      <c r="E336" s="5" t="s">
        <v>22</v>
      </c>
      <c r="F336" s="5" t="s">
        <v>23</v>
      </c>
      <c r="G336" s="5" t="s">
        <v>24</v>
      </c>
      <c r="H336" s="5">
        <v>1546826</v>
      </c>
      <c r="I336">
        <v>629</v>
      </c>
      <c r="J336">
        <v>1718104</v>
      </c>
      <c r="K336">
        <v>240</v>
      </c>
      <c r="L336">
        <v>15.04</v>
      </c>
      <c r="M336" t="s">
        <v>5</v>
      </c>
      <c r="N336" t="s">
        <v>34</v>
      </c>
      <c r="O336" t="s">
        <v>39</v>
      </c>
      <c r="P336">
        <v>8235.4500000000007</v>
      </c>
      <c r="Q336">
        <v>965792.51</v>
      </c>
      <c r="R336" t="s">
        <v>28</v>
      </c>
      <c r="S336" s="1">
        <v>46006</v>
      </c>
    </row>
    <row r="337" spans="1:19" x14ac:dyDescent="0.25">
      <c r="A337" s="5" t="s">
        <v>711</v>
      </c>
      <c r="B337" s="5" t="s">
        <v>712</v>
      </c>
      <c r="C337" s="5" t="s">
        <v>31</v>
      </c>
      <c r="D337" s="5">
        <v>47</v>
      </c>
      <c r="E337" s="5" t="s">
        <v>32</v>
      </c>
      <c r="F337" s="5" t="s">
        <v>42</v>
      </c>
      <c r="G337" s="5" t="s">
        <v>33</v>
      </c>
      <c r="H337" s="5">
        <v>1025156</v>
      </c>
      <c r="I337">
        <v>694</v>
      </c>
      <c r="J337">
        <v>214214</v>
      </c>
      <c r="K337">
        <v>240</v>
      </c>
      <c r="L337">
        <v>12.46</v>
      </c>
      <c r="M337" t="s">
        <v>43</v>
      </c>
      <c r="N337" t="s">
        <v>26</v>
      </c>
      <c r="O337" t="s">
        <v>27</v>
      </c>
      <c r="P337">
        <v>1003.77</v>
      </c>
      <c r="Q337">
        <v>211394.62</v>
      </c>
      <c r="R337" t="s">
        <v>28</v>
      </c>
      <c r="S337" s="1">
        <v>45585</v>
      </c>
    </row>
    <row r="338" spans="1:19" x14ac:dyDescent="0.25">
      <c r="A338" s="5" t="s">
        <v>713</v>
      </c>
      <c r="B338" s="5" t="s">
        <v>714</v>
      </c>
      <c r="C338" s="5" t="s">
        <v>21</v>
      </c>
      <c r="D338" s="5">
        <v>47</v>
      </c>
      <c r="E338" s="5" t="s">
        <v>32</v>
      </c>
      <c r="F338" s="5" t="s">
        <v>23</v>
      </c>
      <c r="G338" s="5" t="s">
        <v>24</v>
      </c>
      <c r="H338" s="5">
        <v>1536384</v>
      </c>
      <c r="I338">
        <v>744</v>
      </c>
      <c r="J338">
        <v>1205026</v>
      </c>
      <c r="K338">
        <v>12</v>
      </c>
      <c r="L338">
        <v>12.4</v>
      </c>
      <c r="M338" t="s">
        <v>5</v>
      </c>
      <c r="N338" t="s">
        <v>38</v>
      </c>
      <c r="O338" t="s">
        <v>27</v>
      </c>
      <c r="P338">
        <v>112870.77</v>
      </c>
      <c r="Q338">
        <v>1122283.53</v>
      </c>
      <c r="R338" t="s">
        <v>28</v>
      </c>
      <c r="S338" s="1">
        <v>45833</v>
      </c>
    </row>
    <row r="339" spans="1:19" x14ac:dyDescent="0.25">
      <c r="A339" s="5" t="s">
        <v>715</v>
      </c>
      <c r="B339" s="5" t="s">
        <v>716</v>
      </c>
      <c r="C339" s="5" t="s">
        <v>21</v>
      </c>
      <c r="D339" s="5">
        <v>36</v>
      </c>
      <c r="E339" s="5" t="s">
        <v>32</v>
      </c>
      <c r="F339" s="5" t="s">
        <v>23</v>
      </c>
      <c r="G339" s="5" t="s">
        <v>33</v>
      </c>
      <c r="H339" s="5">
        <v>1250505</v>
      </c>
      <c r="I339">
        <v>600</v>
      </c>
      <c r="J339">
        <v>1322637</v>
      </c>
      <c r="K339">
        <v>120</v>
      </c>
      <c r="L339">
        <v>11.08</v>
      </c>
      <c r="M339" t="s">
        <v>54</v>
      </c>
      <c r="N339" t="s">
        <v>26</v>
      </c>
      <c r="O339" t="s">
        <v>27</v>
      </c>
      <c r="P339">
        <v>12243.21</v>
      </c>
      <c r="Q339">
        <v>253676.01</v>
      </c>
      <c r="R339" t="s">
        <v>28</v>
      </c>
      <c r="S339" s="1">
        <v>45806</v>
      </c>
    </row>
    <row r="340" spans="1:19" x14ac:dyDescent="0.25">
      <c r="A340" s="5" t="s">
        <v>717</v>
      </c>
      <c r="B340" s="5" t="s">
        <v>718</v>
      </c>
      <c r="C340" s="5" t="s">
        <v>31</v>
      </c>
      <c r="D340" s="5">
        <v>60</v>
      </c>
      <c r="E340" s="5" t="s">
        <v>22</v>
      </c>
      <c r="F340" s="5" t="s">
        <v>23</v>
      </c>
      <c r="G340" s="5" t="s">
        <v>33</v>
      </c>
      <c r="H340" s="5">
        <v>646044</v>
      </c>
      <c r="I340">
        <v>740</v>
      </c>
      <c r="J340">
        <v>113221</v>
      </c>
      <c r="K340">
        <v>60</v>
      </c>
      <c r="L340">
        <v>9.84</v>
      </c>
      <c r="M340" t="s">
        <v>5</v>
      </c>
      <c r="N340" t="s">
        <v>51</v>
      </c>
      <c r="O340" t="s">
        <v>27</v>
      </c>
      <c r="P340">
        <v>2072.6999999999998</v>
      </c>
      <c r="Q340">
        <v>105129.24</v>
      </c>
      <c r="R340" t="s">
        <v>28</v>
      </c>
      <c r="S340" s="1">
        <v>45557</v>
      </c>
    </row>
    <row r="341" spans="1:19" x14ac:dyDescent="0.25">
      <c r="A341" s="5" t="s">
        <v>719</v>
      </c>
      <c r="B341" s="5" t="s">
        <v>720</v>
      </c>
      <c r="C341" s="5" t="s">
        <v>31</v>
      </c>
      <c r="D341" s="5">
        <v>54</v>
      </c>
      <c r="E341" s="5" t="s">
        <v>32</v>
      </c>
      <c r="F341" s="5" t="s">
        <v>42</v>
      </c>
      <c r="G341" s="5" t="s">
        <v>24</v>
      </c>
      <c r="H341" s="5">
        <v>721627</v>
      </c>
      <c r="I341">
        <v>589</v>
      </c>
      <c r="J341">
        <v>1188601</v>
      </c>
      <c r="K341">
        <v>24</v>
      </c>
      <c r="L341">
        <v>11.98</v>
      </c>
      <c r="M341" t="s">
        <v>57</v>
      </c>
      <c r="N341" t="s">
        <v>44</v>
      </c>
      <c r="O341" t="s">
        <v>39</v>
      </c>
      <c r="P341">
        <v>55458.14</v>
      </c>
      <c r="Q341">
        <v>831917.17</v>
      </c>
      <c r="R341" t="s">
        <v>28</v>
      </c>
      <c r="S341" s="1">
        <v>45906</v>
      </c>
    </row>
    <row r="342" spans="1:19" x14ac:dyDescent="0.25">
      <c r="A342" s="5" t="s">
        <v>721</v>
      </c>
      <c r="B342" s="5" t="s">
        <v>722</v>
      </c>
      <c r="C342" s="5" t="s">
        <v>21</v>
      </c>
      <c r="D342" s="5">
        <v>60</v>
      </c>
      <c r="E342" s="5" t="s">
        <v>22</v>
      </c>
      <c r="F342" s="5" t="s">
        <v>23</v>
      </c>
      <c r="G342" s="5" t="s">
        <v>33</v>
      </c>
      <c r="H342" s="5">
        <v>1345913</v>
      </c>
      <c r="I342">
        <v>649</v>
      </c>
      <c r="J342">
        <v>814379</v>
      </c>
      <c r="K342">
        <v>60</v>
      </c>
      <c r="L342">
        <v>7.67</v>
      </c>
      <c r="M342" t="s">
        <v>25</v>
      </c>
      <c r="N342" t="s">
        <v>38</v>
      </c>
      <c r="O342" t="s">
        <v>27</v>
      </c>
      <c r="P342">
        <v>14614.03</v>
      </c>
      <c r="Q342">
        <v>557510.19999999995</v>
      </c>
      <c r="R342" t="s">
        <v>28</v>
      </c>
      <c r="S342" s="1">
        <v>45469</v>
      </c>
    </row>
    <row r="343" spans="1:19" x14ac:dyDescent="0.25">
      <c r="A343" s="5" t="s">
        <v>723</v>
      </c>
      <c r="B343" s="5" t="s">
        <v>724</v>
      </c>
      <c r="C343" s="5" t="s">
        <v>31</v>
      </c>
      <c r="D343" s="5">
        <v>57</v>
      </c>
      <c r="E343" s="5" t="s">
        <v>32</v>
      </c>
      <c r="F343" s="5" t="s">
        <v>42</v>
      </c>
      <c r="G343" s="5" t="s">
        <v>24</v>
      </c>
      <c r="H343" s="5">
        <v>1115287</v>
      </c>
      <c r="I343">
        <v>558</v>
      </c>
      <c r="J343">
        <v>371918</v>
      </c>
      <c r="K343">
        <v>24</v>
      </c>
      <c r="L343">
        <v>12.97</v>
      </c>
      <c r="M343" t="s">
        <v>5</v>
      </c>
      <c r="N343" t="s">
        <v>51</v>
      </c>
      <c r="O343" t="s">
        <v>27</v>
      </c>
      <c r="P343">
        <v>17506.490000000002</v>
      </c>
      <c r="Q343">
        <v>301956.71999999997</v>
      </c>
      <c r="R343" t="s">
        <v>35</v>
      </c>
      <c r="S343" s="1">
        <v>45687</v>
      </c>
    </row>
    <row r="344" spans="1:19" x14ac:dyDescent="0.25">
      <c r="A344" s="5" t="s">
        <v>725</v>
      </c>
      <c r="B344" s="5" t="s">
        <v>726</v>
      </c>
      <c r="C344" s="5" t="s">
        <v>21</v>
      </c>
      <c r="D344" s="5">
        <v>39</v>
      </c>
      <c r="E344" s="5" t="s">
        <v>32</v>
      </c>
      <c r="F344" s="5" t="s">
        <v>42</v>
      </c>
      <c r="G344" s="5" t="s">
        <v>33</v>
      </c>
      <c r="H344" s="5">
        <v>702436</v>
      </c>
      <c r="I344">
        <v>560</v>
      </c>
      <c r="J344">
        <v>718612</v>
      </c>
      <c r="K344">
        <v>12</v>
      </c>
      <c r="L344">
        <v>12.95</v>
      </c>
      <c r="M344" t="s">
        <v>57</v>
      </c>
      <c r="N344" t="s">
        <v>44</v>
      </c>
      <c r="O344" t="s">
        <v>27</v>
      </c>
      <c r="P344">
        <v>67639.350000000006</v>
      </c>
      <c r="Q344">
        <v>203316.74</v>
      </c>
      <c r="R344" t="s">
        <v>35</v>
      </c>
      <c r="S344" s="1">
        <v>45431</v>
      </c>
    </row>
    <row r="345" spans="1:19" x14ac:dyDescent="0.25">
      <c r="A345" s="5" t="s">
        <v>727</v>
      </c>
      <c r="B345" s="5" t="s">
        <v>728</v>
      </c>
      <c r="C345" s="5" t="s">
        <v>31</v>
      </c>
      <c r="D345" s="5">
        <v>35</v>
      </c>
      <c r="E345" s="5" t="s">
        <v>32</v>
      </c>
      <c r="F345" s="5" t="s">
        <v>42</v>
      </c>
      <c r="G345" s="5" t="s">
        <v>24</v>
      </c>
      <c r="H345" s="5">
        <v>694163</v>
      </c>
      <c r="I345">
        <v>676</v>
      </c>
      <c r="J345">
        <v>1416096</v>
      </c>
      <c r="K345">
        <v>180</v>
      </c>
      <c r="L345">
        <v>7.95</v>
      </c>
      <c r="M345" t="s">
        <v>57</v>
      </c>
      <c r="N345" t="s">
        <v>44</v>
      </c>
      <c r="O345" t="s">
        <v>27</v>
      </c>
      <c r="P345">
        <v>8492.64</v>
      </c>
      <c r="Q345">
        <v>1139015.31</v>
      </c>
      <c r="R345" t="s">
        <v>28</v>
      </c>
      <c r="S345" s="1">
        <v>45358</v>
      </c>
    </row>
    <row r="346" spans="1:19" x14ac:dyDescent="0.25">
      <c r="A346" s="5" t="s">
        <v>729</v>
      </c>
      <c r="B346" s="5" t="s">
        <v>730</v>
      </c>
      <c r="C346" s="5" t="s">
        <v>31</v>
      </c>
      <c r="D346" s="5">
        <v>53</v>
      </c>
      <c r="E346" s="5" t="s">
        <v>32</v>
      </c>
      <c r="F346" s="5" t="s">
        <v>23</v>
      </c>
      <c r="G346" s="5" t="s">
        <v>24</v>
      </c>
      <c r="H346" s="5">
        <v>1945958</v>
      </c>
      <c r="I346">
        <v>833</v>
      </c>
      <c r="J346">
        <v>356330</v>
      </c>
      <c r="K346">
        <v>60</v>
      </c>
      <c r="L346">
        <v>14.89</v>
      </c>
      <c r="M346" t="s">
        <v>5</v>
      </c>
      <c r="N346" t="s">
        <v>26</v>
      </c>
      <c r="O346" t="s">
        <v>27</v>
      </c>
      <c r="P346">
        <v>6823.13</v>
      </c>
      <c r="Q346">
        <v>283690.65999999997</v>
      </c>
      <c r="R346" t="s">
        <v>28</v>
      </c>
      <c r="S346" s="1">
        <v>45871</v>
      </c>
    </row>
    <row r="347" spans="1:19" x14ac:dyDescent="0.25">
      <c r="A347" s="5" t="s">
        <v>731</v>
      </c>
      <c r="B347" s="5" t="s">
        <v>732</v>
      </c>
      <c r="C347" s="5" t="s">
        <v>21</v>
      </c>
      <c r="D347" s="5">
        <v>23</v>
      </c>
      <c r="E347" s="5" t="s">
        <v>22</v>
      </c>
      <c r="F347" s="5" t="s">
        <v>23</v>
      </c>
      <c r="G347" s="5" t="s">
        <v>24</v>
      </c>
      <c r="H347" s="5">
        <v>1311491</v>
      </c>
      <c r="I347">
        <v>706</v>
      </c>
      <c r="J347">
        <v>228652</v>
      </c>
      <c r="K347">
        <v>60</v>
      </c>
      <c r="L347">
        <v>11.78</v>
      </c>
      <c r="M347" t="s">
        <v>54</v>
      </c>
      <c r="N347" t="s">
        <v>38</v>
      </c>
      <c r="O347" t="s">
        <v>27</v>
      </c>
      <c r="P347">
        <v>4259.79</v>
      </c>
      <c r="Q347">
        <v>166668.22</v>
      </c>
      <c r="R347" t="s">
        <v>28</v>
      </c>
      <c r="S347" s="1">
        <v>45711</v>
      </c>
    </row>
    <row r="348" spans="1:19" x14ac:dyDescent="0.25">
      <c r="A348" s="5" t="s">
        <v>733</v>
      </c>
      <c r="B348" s="5" t="s">
        <v>734</v>
      </c>
      <c r="C348" s="5" t="s">
        <v>21</v>
      </c>
      <c r="D348" s="5">
        <v>50</v>
      </c>
      <c r="E348" s="5" t="s">
        <v>32</v>
      </c>
      <c r="F348" s="5" t="s">
        <v>23</v>
      </c>
      <c r="G348" s="5" t="s">
        <v>33</v>
      </c>
      <c r="H348" s="5">
        <v>1535445</v>
      </c>
      <c r="I348">
        <v>812</v>
      </c>
      <c r="J348">
        <v>1183392</v>
      </c>
      <c r="K348">
        <v>48</v>
      </c>
      <c r="L348">
        <v>7.69</v>
      </c>
      <c r="M348" t="s">
        <v>43</v>
      </c>
      <c r="N348" t="s">
        <v>51</v>
      </c>
      <c r="O348" t="s">
        <v>27</v>
      </c>
      <c r="P348">
        <v>26549.89</v>
      </c>
      <c r="Q348">
        <v>519583.33</v>
      </c>
      <c r="R348" t="s">
        <v>28</v>
      </c>
      <c r="S348" s="1">
        <v>45951</v>
      </c>
    </row>
    <row r="349" spans="1:19" x14ac:dyDescent="0.25">
      <c r="A349" s="5" t="s">
        <v>735</v>
      </c>
      <c r="B349" s="5" t="s">
        <v>736</v>
      </c>
      <c r="C349" s="5" t="s">
        <v>21</v>
      </c>
      <c r="D349" s="5">
        <v>38</v>
      </c>
      <c r="E349" s="5" t="s">
        <v>32</v>
      </c>
      <c r="F349" s="5" t="s">
        <v>23</v>
      </c>
      <c r="G349" s="5" t="s">
        <v>24</v>
      </c>
      <c r="H349" s="5">
        <v>1467483</v>
      </c>
      <c r="I349">
        <v>689</v>
      </c>
      <c r="J349">
        <v>277800</v>
      </c>
      <c r="K349">
        <v>24</v>
      </c>
      <c r="L349">
        <v>12.75</v>
      </c>
      <c r="M349" t="s">
        <v>43</v>
      </c>
      <c r="N349" t="s">
        <v>51</v>
      </c>
      <c r="O349" t="s">
        <v>27</v>
      </c>
      <c r="P349">
        <v>13050.81</v>
      </c>
      <c r="Q349">
        <v>161675.54999999999</v>
      </c>
      <c r="R349" t="s">
        <v>28</v>
      </c>
      <c r="S349" s="1">
        <v>45743</v>
      </c>
    </row>
    <row r="350" spans="1:19" x14ac:dyDescent="0.25">
      <c r="A350" s="5" t="s">
        <v>737</v>
      </c>
      <c r="B350" s="5" t="s">
        <v>738</v>
      </c>
      <c r="C350" s="5" t="s">
        <v>21</v>
      </c>
      <c r="D350" s="5">
        <v>43</v>
      </c>
      <c r="E350" s="5" t="s">
        <v>22</v>
      </c>
      <c r="F350" s="5" t="s">
        <v>42</v>
      </c>
      <c r="G350" s="5" t="s">
        <v>24</v>
      </c>
      <c r="H350" s="5">
        <v>947148</v>
      </c>
      <c r="I350">
        <v>847</v>
      </c>
      <c r="J350">
        <v>1037813</v>
      </c>
      <c r="K350">
        <v>240</v>
      </c>
      <c r="L350">
        <v>9.48</v>
      </c>
      <c r="M350" t="s">
        <v>43</v>
      </c>
      <c r="N350" t="s">
        <v>104</v>
      </c>
      <c r="O350" t="s">
        <v>27</v>
      </c>
      <c r="P350">
        <v>4734.16</v>
      </c>
      <c r="Q350">
        <v>811040.32</v>
      </c>
      <c r="R350" t="s">
        <v>28</v>
      </c>
      <c r="S350" s="1">
        <v>45857</v>
      </c>
    </row>
    <row r="351" spans="1:19" x14ac:dyDescent="0.25">
      <c r="A351" s="5" t="s">
        <v>739</v>
      </c>
      <c r="B351" s="5" t="s">
        <v>740</v>
      </c>
      <c r="C351" s="5" t="s">
        <v>31</v>
      </c>
      <c r="D351" s="5">
        <v>57</v>
      </c>
      <c r="E351" s="5" t="s">
        <v>32</v>
      </c>
      <c r="F351" s="5" t="s">
        <v>42</v>
      </c>
      <c r="G351" s="5" t="s">
        <v>24</v>
      </c>
      <c r="H351" s="5">
        <v>1903217</v>
      </c>
      <c r="I351">
        <v>574</v>
      </c>
      <c r="J351">
        <v>123804</v>
      </c>
      <c r="K351">
        <v>24</v>
      </c>
      <c r="L351">
        <v>8.4499999999999993</v>
      </c>
      <c r="M351" t="s">
        <v>57</v>
      </c>
      <c r="N351" t="s">
        <v>38</v>
      </c>
      <c r="O351" t="s">
        <v>27</v>
      </c>
      <c r="P351">
        <v>5594.39</v>
      </c>
      <c r="Q351">
        <v>52273.1</v>
      </c>
      <c r="R351" t="s">
        <v>35</v>
      </c>
      <c r="S351" s="1">
        <v>46017</v>
      </c>
    </row>
    <row r="352" spans="1:19" x14ac:dyDescent="0.25">
      <c r="A352" s="5" t="s">
        <v>741</v>
      </c>
      <c r="B352" s="5" t="s">
        <v>742</v>
      </c>
      <c r="C352" s="5" t="s">
        <v>31</v>
      </c>
      <c r="D352" s="5">
        <v>54</v>
      </c>
      <c r="E352" s="5" t="s">
        <v>32</v>
      </c>
      <c r="F352" s="5" t="s">
        <v>42</v>
      </c>
      <c r="G352" s="5" t="s">
        <v>33</v>
      </c>
      <c r="H352" s="5">
        <v>530425</v>
      </c>
      <c r="I352">
        <v>779</v>
      </c>
      <c r="J352">
        <v>1111137</v>
      </c>
      <c r="K352">
        <v>120</v>
      </c>
      <c r="L352">
        <v>12.64</v>
      </c>
      <c r="M352" t="s">
        <v>25</v>
      </c>
      <c r="N352" t="s">
        <v>26</v>
      </c>
      <c r="O352" t="s">
        <v>27</v>
      </c>
      <c r="P352">
        <v>10429.870000000001</v>
      </c>
      <c r="Q352">
        <v>841072.21</v>
      </c>
      <c r="R352" t="s">
        <v>28</v>
      </c>
      <c r="S352" s="1">
        <v>45386</v>
      </c>
    </row>
    <row r="353" spans="1:19" x14ac:dyDescent="0.25">
      <c r="A353" s="5" t="s">
        <v>743</v>
      </c>
      <c r="B353" s="5" t="s">
        <v>744</v>
      </c>
      <c r="C353" s="5" t="s">
        <v>31</v>
      </c>
      <c r="D353" s="5">
        <v>30</v>
      </c>
      <c r="E353" s="5" t="s">
        <v>22</v>
      </c>
      <c r="F353" s="5" t="s">
        <v>42</v>
      </c>
      <c r="G353" s="5" t="s">
        <v>24</v>
      </c>
      <c r="H353" s="5">
        <v>1647113</v>
      </c>
      <c r="I353">
        <v>574</v>
      </c>
      <c r="J353">
        <v>905874</v>
      </c>
      <c r="K353">
        <v>240</v>
      </c>
      <c r="L353">
        <v>9.91</v>
      </c>
      <c r="M353" t="s">
        <v>57</v>
      </c>
      <c r="N353" t="s">
        <v>51</v>
      </c>
      <c r="O353" t="s">
        <v>39</v>
      </c>
      <c r="P353">
        <v>4148.53</v>
      </c>
      <c r="Q353">
        <v>845333.04</v>
      </c>
      <c r="R353" t="s">
        <v>28</v>
      </c>
      <c r="S353" s="1">
        <v>45466</v>
      </c>
    </row>
    <row r="354" spans="1:19" x14ac:dyDescent="0.25">
      <c r="A354" s="5" t="s">
        <v>745</v>
      </c>
      <c r="B354" s="5" t="s">
        <v>746</v>
      </c>
      <c r="C354" s="5" t="s">
        <v>21</v>
      </c>
      <c r="D354" s="5">
        <v>49</v>
      </c>
      <c r="E354" s="5" t="s">
        <v>32</v>
      </c>
      <c r="F354" s="5" t="s">
        <v>23</v>
      </c>
      <c r="G354" s="5" t="s">
        <v>24</v>
      </c>
      <c r="H354" s="5">
        <v>402750</v>
      </c>
      <c r="I354">
        <v>829</v>
      </c>
      <c r="J354">
        <v>1111058</v>
      </c>
      <c r="K354">
        <v>48</v>
      </c>
      <c r="L354">
        <v>9.09</v>
      </c>
      <c r="M354" t="s">
        <v>57</v>
      </c>
      <c r="N354" t="s">
        <v>26</v>
      </c>
      <c r="O354" t="s">
        <v>27</v>
      </c>
      <c r="P354">
        <v>25251.11</v>
      </c>
      <c r="Q354">
        <v>894927.02</v>
      </c>
      <c r="R354" t="s">
        <v>28</v>
      </c>
      <c r="S354" s="1">
        <v>45481</v>
      </c>
    </row>
    <row r="355" spans="1:19" x14ac:dyDescent="0.25">
      <c r="A355" s="5" t="s">
        <v>747</v>
      </c>
      <c r="B355" s="5" t="s">
        <v>748</v>
      </c>
      <c r="C355" s="5" t="s">
        <v>21</v>
      </c>
      <c r="D355" s="5">
        <v>46</v>
      </c>
      <c r="E355" s="5" t="s">
        <v>22</v>
      </c>
      <c r="F355" s="5" t="s">
        <v>42</v>
      </c>
      <c r="G355" s="5" t="s">
        <v>24</v>
      </c>
      <c r="H355" s="5">
        <v>1754632</v>
      </c>
      <c r="I355">
        <v>798</v>
      </c>
      <c r="J355">
        <v>1927218</v>
      </c>
      <c r="K355">
        <v>84</v>
      </c>
      <c r="L355">
        <v>9.19</v>
      </c>
      <c r="M355" t="s">
        <v>57</v>
      </c>
      <c r="N355" t="s">
        <v>38</v>
      </c>
      <c r="O355" t="s">
        <v>27</v>
      </c>
      <c r="P355">
        <v>25051.54</v>
      </c>
      <c r="Q355">
        <v>1468720.72</v>
      </c>
      <c r="R355" t="s">
        <v>28</v>
      </c>
      <c r="S355" s="1">
        <v>45480</v>
      </c>
    </row>
    <row r="356" spans="1:19" x14ac:dyDescent="0.25">
      <c r="A356" s="5" t="s">
        <v>749</v>
      </c>
      <c r="B356" s="5" t="s">
        <v>750</v>
      </c>
      <c r="C356" s="5" t="s">
        <v>31</v>
      </c>
      <c r="D356" s="5">
        <v>23</v>
      </c>
      <c r="E356" s="5" t="s">
        <v>22</v>
      </c>
      <c r="F356" s="5" t="s">
        <v>23</v>
      </c>
      <c r="G356" s="5" t="s">
        <v>33</v>
      </c>
      <c r="H356" s="5">
        <v>1139600</v>
      </c>
      <c r="I356">
        <v>576</v>
      </c>
      <c r="J356">
        <v>525882</v>
      </c>
      <c r="K356">
        <v>60</v>
      </c>
      <c r="L356">
        <v>8.36</v>
      </c>
      <c r="M356" t="s">
        <v>25</v>
      </c>
      <c r="N356" t="s">
        <v>34</v>
      </c>
      <c r="O356" t="s">
        <v>27</v>
      </c>
      <c r="P356">
        <v>9497.43</v>
      </c>
      <c r="Q356">
        <v>416745.69</v>
      </c>
      <c r="R356" t="s">
        <v>28</v>
      </c>
      <c r="S356" s="1">
        <v>45623</v>
      </c>
    </row>
    <row r="357" spans="1:19" x14ac:dyDescent="0.25">
      <c r="A357" s="5" t="s">
        <v>751</v>
      </c>
      <c r="B357" s="5" t="s">
        <v>752</v>
      </c>
      <c r="C357" s="5" t="s">
        <v>21</v>
      </c>
      <c r="D357" s="5">
        <v>31</v>
      </c>
      <c r="E357" s="5" t="s">
        <v>32</v>
      </c>
      <c r="F357" s="5" t="s">
        <v>23</v>
      </c>
      <c r="G357" s="5" t="s">
        <v>33</v>
      </c>
      <c r="H357" s="5">
        <v>423071</v>
      </c>
      <c r="I357">
        <v>625</v>
      </c>
      <c r="J357">
        <v>1589663</v>
      </c>
      <c r="K357">
        <v>240</v>
      </c>
      <c r="L357">
        <v>9.89</v>
      </c>
      <c r="M357" t="s">
        <v>25</v>
      </c>
      <c r="N357" t="s">
        <v>26</v>
      </c>
      <c r="O357" t="s">
        <v>39</v>
      </c>
      <c r="P357">
        <v>7278.67</v>
      </c>
      <c r="Q357">
        <v>1494846.32</v>
      </c>
      <c r="R357" t="s">
        <v>28</v>
      </c>
      <c r="S357" s="1">
        <v>45584</v>
      </c>
    </row>
    <row r="358" spans="1:19" x14ac:dyDescent="0.25">
      <c r="A358" s="5" t="s">
        <v>753</v>
      </c>
      <c r="B358" s="5" t="s">
        <v>754</v>
      </c>
      <c r="C358" s="5" t="s">
        <v>31</v>
      </c>
      <c r="D358" s="5">
        <v>42</v>
      </c>
      <c r="E358" s="5" t="s">
        <v>22</v>
      </c>
      <c r="F358" s="5" t="s">
        <v>23</v>
      </c>
      <c r="G358" s="5" t="s">
        <v>24</v>
      </c>
      <c r="H358" s="5">
        <v>1132327</v>
      </c>
      <c r="I358">
        <v>843</v>
      </c>
      <c r="J358">
        <v>627283</v>
      </c>
      <c r="K358">
        <v>84</v>
      </c>
      <c r="L358">
        <v>11.22</v>
      </c>
      <c r="M358" t="s">
        <v>25</v>
      </c>
      <c r="N358" t="s">
        <v>44</v>
      </c>
      <c r="O358" t="s">
        <v>27</v>
      </c>
      <c r="P358">
        <v>8305.5300000000007</v>
      </c>
      <c r="Q358">
        <v>86953.99</v>
      </c>
      <c r="R358" t="s">
        <v>28</v>
      </c>
      <c r="S358" s="1">
        <v>45998</v>
      </c>
    </row>
    <row r="359" spans="1:19" x14ac:dyDescent="0.25">
      <c r="A359" s="5" t="s">
        <v>755</v>
      </c>
      <c r="B359" s="5" t="s">
        <v>756</v>
      </c>
      <c r="C359" s="5" t="s">
        <v>21</v>
      </c>
      <c r="D359" s="5">
        <v>37</v>
      </c>
      <c r="E359" s="5" t="s">
        <v>32</v>
      </c>
      <c r="F359" s="5" t="s">
        <v>42</v>
      </c>
      <c r="G359" s="5" t="s">
        <v>33</v>
      </c>
      <c r="H359" s="5">
        <v>975441</v>
      </c>
      <c r="I359">
        <v>662</v>
      </c>
      <c r="J359">
        <v>1875363</v>
      </c>
      <c r="K359">
        <v>24</v>
      </c>
      <c r="L359">
        <v>13.25</v>
      </c>
      <c r="M359" t="s">
        <v>57</v>
      </c>
      <c r="N359" t="s">
        <v>104</v>
      </c>
      <c r="O359" t="s">
        <v>27</v>
      </c>
      <c r="P359">
        <v>88493.69</v>
      </c>
      <c r="Q359">
        <v>1019448.65</v>
      </c>
      <c r="R359" t="s">
        <v>28</v>
      </c>
      <c r="S359" s="1">
        <v>45789</v>
      </c>
    </row>
    <row r="360" spans="1:19" x14ac:dyDescent="0.25">
      <c r="A360" s="5" t="s">
        <v>757</v>
      </c>
      <c r="B360" s="5" t="s">
        <v>758</v>
      </c>
      <c r="C360" s="5" t="s">
        <v>21</v>
      </c>
      <c r="D360" s="5">
        <v>23</v>
      </c>
      <c r="E360" s="5" t="s">
        <v>22</v>
      </c>
      <c r="F360" s="5" t="s">
        <v>42</v>
      </c>
      <c r="G360" s="5" t="s">
        <v>24</v>
      </c>
      <c r="H360" s="5">
        <v>578832</v>
      </c>
      <c r="I360">
        <v>588</v>
      </c>
      <c r="J360">
        <v>683330</v>
      </c>
      <c r="K360">
        <v>180</v>
      </c>
      <c r="L360">
        <v>11.82</v>
      </c>
      <c r="M360" t="s">
        <v>54</v>
      </c>
      <c r="N360" t="s">
        <v>34</v>
      </c>
      <c r="O360" t="s">
        <v>27</v>
      </c>
      <c r="P360">
        <v>4245</v>
      </c>
      <c r="Q360">
        <v>113047.7</v>
      </c>
      <c r="R360" t="s">
        <v>35</v>
      </c>
      <c r="S360" s="1">
        <v>45792</v>
      </c>
    </row>
    <row r="361" spans="1:19" x14ac:dyDescent="0.25">
      <c r="A361" s="5" t="s">
        <v>759</v>
      </c>
      <c r="B361" s="5" t="s">
        <v>760</v>
      </c>
      <c r="C361" s="5" t="s">
        <v>31</v>
      </c>
      <c r="D361" s="5">
        <v>53</v>
      </c>
      <c r="E361" s="5" t="s">
        <v>32</v>
      </c>
      <c r="F361" s="5" t="s">
        <v>42</v>
      </c>
      <c r="G361" s="5" t="s">
        <v>33</v>
      </c>
      <c r="H361" s="5">
        <v>1021702</v>
      </c>
      <c r="I361">
        <v>724</v>
      </c>
      <c r="J361">
        <v>206691</v>
      </c>
      <c r="K361">
        <v>180</v>
      </c>
      <c r="L361">
        <v>13.98</v>
      </c>
      <c r="M361" t="s">
        <v>54</v>
      </c>
      <c r="N361" t="s">
        <v>34</v>
      </c>
      <c r="O361" t="s">
        <v>27</v>
      </c>
      <c r="P361">
        <v>1308.81</v>
      </c>
      <c r="Q361">
        <v>118135.57</v>
      </c>
      <c r="R361" t="s">
        <v>28</v>
      </c>
      <c r="S361" s="1">
        <v>45963</v>
      </c>
    </row>
    <row r="362" spans="1:19" x14ac:dyDescent="0.25">
      <c r="A362" s="5" t="s">
        <v>761</v>
      </c>
      <c r="B362" s="5" t="s">
        <v>762</v>
      </c>
      <c r="C362" s="5" t="s">
        <v>31</v>
      </c>
      <c r="D362" s="5">
        <v>38</v>
      </c>
      <c r="E362" s="5" t="s">
        <v>22</v>
      </c>
      <c r="F362" s="5" t="s">
        <v>42</v>
      </c>
      <c r="G362" s="5" t="s">
        <v>33</v>
      </c>
      <c r="H362" s="5">
        <v>293138</v>
      </c>
      <c r="I362">
        <v>636</v>
      </c>
      <c r="J362">
        <v>1455740</v>
      </c>
      <c r="K362">
        <v>240</v>
      </c>
      <c r="L362">
        <v>13.48</v>
      </c>
      <c r="M362" t="s">
        <v>5</v>
      </c>
      <c r="N362" t="s">
        <v>44</v>
      </c>
      <c r="O362" t="s">
        <v>27</v>
      </c>
      <c r="P362">
        <v>6883.22</v>
      </c>
      <c r="Q362">
        <v>837201.91</v>
      </c>
      <c r="R362" t="s">
        <v>28</v>
      </c>
      <c r="S362" s="1">
        <v>45584</v>
      </c>
    </row>
    <row r="363" spans="1:19" x14ac:dyDescent="0.25">
      <c r="A363" s="5" t="s">
        <v>763</v>
      </c>
      <c r="B363" s="5" t="s">
        <v>764</v>
      </c>
      <c r="C363" s="5" t="s">
        <v>31</v>
      </c>
      <c r="D363" s="5">
        <v>49</v>
      </c>
      <c r="E363" s="5" t="s">
        <v>32</v>
      </c>
      <c r="F363" s="5" t="s">
        <v>23</v>
      </c>
      <c r="G363" s="5" t="s">
        <v>33</v>
      </c>
      <c r="H363" s="5">
        <v>1783210</v>
      </c>
      <c r="I363">
        <v>780</v>
      </c>
      <c r="J363">
        <v>1308542</v>
      </c>
      <c r="K363">
        <v>120</v>
      </c>
      <c r="L363">
        <v>11.89</v>
      </c>
      <c r="M363" t="s">
        <v>57</v>
      </c>
      <c r="N363" t="s">
        <v>38</v>
      </c>
      <c r="O363" t="s">
        <v>27</v>
      </c>
      <c r="P363">
        <v>12201.06</v>
      </c>
      <c r="Q363">
        <v>502944.9</v>
      </c>
      <c r="R363" t="s">
        <v>28</v>
      </c>
      <c r="S363" s="1">
        <v>45962</v>
      </c>
    </row>
    <row r="364" spans="1:19" x14ac:dyDescent="0.25">
      <c r="A364" s="5" t="s">
        <v>765</v>
      </c>
      <c r="B364" s="5" t="s">
        <v>766</v>
      </c>
      <c r="C364" s="5" t="s">
        <v>21</v>
      </c>
      <c r="D364" s="5">
        <v>53</v>
      </c>
      <c r="E364" s="5" t="s">
        <v>22</v>
      </c>
      <c r="F364" s="5" t="s">
        <v>23</v>
      </c>
      <c r="G364" s="5" t="s">
        <v>33</v>
      </c>
      <c r="H364" s="5">
        <v>1505711</v>
      </c>
      <c r="I364">
        <v>600</v>
      </c>
      <c r="J364">
        <v>411313</v>
      </c>
      <c r="K364">
        <v>48</v>
      </c>
      <c r="L364">
        <v>13.1</v>
      </c>
      <c r="M364" t="s">
        <v>5</v>
      </c>
      <c r="N364" t="s">
        <v>104</v>
      </c>
      <c r="O364" t="s">
        <v>27</v>
      </c>
      <c r="P364">
        <v>9691.56</v>
      </c>
      <c r="Q364">
        <v>380027.47</v>
      </c>
      <c r="R364" t="s">
        <v>28</v>
      </c>
      <c r="S364" s="1">
        <v>45348</v>
      </c>
    </row>
    <row r="365" spans="1:19" x14ac:dyDescent="0.25">
      <c r="A365" s="5" t="s">
        <v>767</v>
      </c>
      <c r="B365" s="5" t="s">
        <v>768</v>
      </c>
      <c r="C365" s="5" t="s">
        <v>31</v>
      </c>
      <c r="D365" s="5">
        <v>38</v>
      </c>
      <c r="E365" s="5" t="s">
        <v>22</v>
      </c>
      <c r="F365" s="5" t="s">
        <v>23</v>
      </c>
      <c r="G365" s="5" t="s">
        <v>33</v>
      </c>
      <c r="H365" s="5">
        <v>815980</v>
      </c>
      <c r="I365">
        <v>678</v>
      </c>
      <c r="J365">
        <v>796688</v>
      </c>
      <c r="K365">
        <v>180</v>
      </c>
      <c r="L365">
        <v>14.79</v>
      </c>
      <c r="M365" t="s">
        <v>54</v>
      </c>
      <c r="N365" t="s">
        <v>51</v>
      </c>
      <c r="O365" t="s">
        <v>27</v>
      </c>
      <c r="P365">
        <v>5080.66</v>
      </c>
      <c r="Q365">
        <v>120785.79</v>
      </c>
      <c r="R365" t="s">
        <v>28</v>
      </c>
      <c r="S365" s="1">
        <v>45572</v>
      </c>
    </row>
    <row r="366" spans="1:19" x14ac:dyDescent="0.25">
      <c r="A366" s="5" t="s">
        <v>769</v>
      </c>
      <c r="B366" s="5" t="s">
        <v>770</v>
      </c>
      <c r="C366" s="5" t="s">
        <v>21</v>
      </c>
      <c r="D366" s="5">
        <v>54</v>
      </c>
      <c r="E366" s="5" t="s">
        <v>32</v>
      </c>
      <c r="F366" s="5" t="s">
        <v>42</v>
      </c>
      <c r="G366" s="5" t="s">
        <v>33</v>
      </c>
      <c r="H366" s="5">
        <v>1739694</v>
      </c>
      <c r="I366">
        <v>825</v>
      </c>
      <c r="J366">
        <v>410090</v>
      </c>
      <c r="K366">
        <v>240</v>
      </c>
      <c r="L366">
        <v>14.98</v>
      </c>
      <c r="M366" t="s">
        <v>43</v>
      </c>
      <c r="N366" t="s">
        <v>104</v>
      </c>
      <c r="O366" t="s">
        <v>27</v>
      </c>
      <c r="P366">
        <v>1964.67</v>
      </c>
      <c r="Q366">
        <v>41182.129999999997</v>
      </c>
      <c r="R366" t="s">
        <v>28</v>
      </c>
      <c r="S366" s="1">
        <v>45573</v>
      </c>
    </row>
    <row r="367" spans="1:19" x14ac:dyDescent="0.25">
      <c r="A367" s="5" t="s">
        <v>771</v>
      </c>
      <c r="B367" s="5" t="s">
        <v>772</v>
      </c>
      <c r="C367" s="5" t="s">
        <v>31</v>
      </c>
      <c r="D367" s="5">
        <v>53</v>
      </c>
      <c r="E367" s="5" t="s">
        <v>32</v>
      </c>
      <c r="F367" s="5" t="s">
        <v>23</v>
      </c>
      <c r="G367" s="5" t="s">
        <v>24</v>
      </c>
      <c r="H367" s="5">
        <v>433149</v>
      </c>
      <c r="I367">
        <v>669</v>
      </c>
      <c r="J367">
        <v>147679</v>
      </c>
      <c r="K367">
        <v>240</v>
      </c>
      <c r="L367">
        <v>9.18</v>
      </c>
      <c r="M367" t="s">
        <v>57</v>
      </c>
      <c r="N367" t="s">
        <v>26</v>
      </c>
      <c r="O367" t="s">
        <v>27</v>
      </c>
      <c r="P367">
        <v>671.82</v>
      </c>
      <c r="Q367">
        <v>99492.06</v>
      </c>
      <c r="R367" t="s">
        <v>28</v>
      </c>
      <c r="S367" s="1">
        <v>45708</v>
      </c>
    </row>
    <row r="368" spans="1:19" x14ac:dyDescent="0.25">
      <c r="A368" s="5" t="s">
        <v>773</v>
      </c>
      <c r="B368" s="5" t="s">
        <v>774</v>
      </c>
      <c r="C368" s="5" t="s">
        <v>31</v>
      </c>
      <c r="D368" s="5">
        <v>51</v>
      </c>
      <c r="E368" s="5" t="s">
        <v>32</v>
      </c>
      <c r="F368" s="5" t="s">
        <v>23</v>
      </c>
      <c r="G368" s="5" t="s">
        <v>24</v>
      </c>
      <c r="H368" s="5">
        <v>384408</v>
      </c>
      <c r="I368">
        <v>818</v>
      </c>
      <c r="J368">
        <v>860193</v>
      </c>
      <c r="K368">
        <v>12</v>
      </c>
      <c r="L368">
        <v>12.97</v>
      </c>
      <c r="M368" t="s">
        <v>43</v>
      </c>
      <c r="N368" t="s">
        <v>26</v>
      </c>
      <c r="O368" t="s">
        <v>27</v>
      </c>
      <c r="P368">
        <v>80980</v>
      </c>
      <c r="Q368">
        <v>757458.85</v>
      </c>
      <c r="R368" t="s">
        <v>28</v>
      </c>
      <c r="S368" s="1">
        <v>45937</v>
      </c>
    </row>
    <row r="369" spans="1:19" x14ac:dyDescent="0.25">
      <c r="A369" s="5" t="s">
        <v>775</v>
      </c>
      <c r="B369" s="5" t="s">
        <v>776</v>
      </c>
      <c r="C369" s="5" t="s">
        <v>31</v>
      </c>
      <c r="D369" s="5">
        <v>32</v>
      </c>
      <c r="E369" s="5" t="s">
        <v>22</v>
      </c>
      <c r="F369" s="5" t="s">
        <v>42</v>
      </c>
      <c r="G369" s="5" t="s">
        <v>33</v>
      </c>
      <c r="H369" s="5">
        <v>885210</v>
      </c>
      <c r="I369">
        <v>800</v>
      </c>
      <c r="J369">
        <v>1496884</v>
      </c>
      <c r="K369">
        <v>240</v>
      </c>
      <c r="L369">
        <v>13.2</v>
      </c>
      <c r="M369" t="s">
        <v>57</v>
      </c>
      <c r="N369" t="s">
        <v>51</v>
      </c>
      <c r="O369" t="s">
        <v>27</v>
      </c>
      <c r="P369">
        <v>7060.3</v>
      </c>
      <c r="Q369">
        <v>172907.85</v>
      </c>
      <c r="R369" t="s">
        <v>28</v>
      </c>
      <c r="S369" s="1">
        <v>45912</v>
      </c>
    </row>
    <row r="370" spans="1:19" x14ac:dyDescent="0.25">
      <c r="A370" s="5" t="s">
        <v>777</v>
      </c>
      <c r="B370" s="5" t="s">
        <v>778</v>
      </c>
      <c r="C370" s="5" t="s">
        <v>21</v>
      </c>
      <c r="D370" s="5">
        <v>32</v>
      </c>
      <c r="E370" s="5" t="s">
        <v>22</v>
      </c>
      <c r="F370" s="5" t="s">
        <v>42</v>
      </c>
      <c r="G370" s="5" t="s">
        <v>24</v>
      </c>
      <c r="H370" s="5">
        <v>1655173</v>
      </c>
      <c r="I370">
        <v>738</v>
      </c>
      <c r="J370">
        <v>511886</v>
      </c>
      <c r="K370">
        <v>120</v>
      </c>
      <c r="L370">
        <v>9.76</v>
      </c>
      <c r="M370" t="s">
        <v>54</v>
      </c>
      <c r="N370" t="s">
        <v>44</v>
      </c>
      <c r="O370" t="s">
        <v>27</v>
      </c>
      <c r="P370">
        <v>4682.05</v>
      </c>
      <c r="Q370">
        <v>209747.4</v>
      </c>
      <c r="R370" t="s">
        <v>28</v>
      </c>
      <c r="S370" s="1">
        <v>45388</v>
      </c>
    </row>
    <row r="371" spans="1:19" x14ac:dyDescent="0.25">
      <c r="A371" s="5" t="s">
        <v>779</v>
      </c>
      <c r="B371" s="5" t="s">
        <v>780</v>
      </c>
      <c r="C371" s="5" t="s">
        <v>21</v>
      </c>
      <c r="D371" s="5">
        <v>52</v>
      </c>
      <c r="E371" s="5" t="s">
        <v>32</v>
      </c>
      <c r="F371" s="5" t="s">
        <v>23</v>
      </c>
      <c r="G371" s="5" t="s">
        <v>33</v>
      </c>
      <c r="H371" s="5">
        <v>1468306</v>
      </c>
      <c r="I371">
        <v>672</v>
      </c>
      <c r="J371">
        <v>1276750</v>
      </c>
      <c r="K371">
        <v>48</v>
      </c>
      <c r="L371">
        <v>7.78</v>
      </c>
      <c r="M371" t="s">
        <v>43</v>
      </c>
      <c r="N371" t="s">
        <v>34</v>
      </c>
      <c r="O371" t="s">
        <v>27</v>
      </c>
      <c r="P371">
        <v>28668.36</v>
      </c>
      <c r="Q371">
        <v>783644.99</v>
      </c>
      <c r="R371" t="s">
        <v>28</v>
      </c>
      <c r="S371" s="1">
        <v>45973</v>
      </c>
    </row>
    <row r="372" spans="1:19" x14ac:dyDescent="0.25">
      <c r="A372" s="5" t="s">
        <v>781</v>
      </c>
      <c r="B372" s="5" t="s">
        <v>782</v>
      </c>
      <c r="C372" s="5" t="s">
        <v>31</v>
      </c>
      <c r="D372" s="5">
        <v>50</v>
      </c>
      <c r="E372" s="5" t="s">
        <v>22</v>
      </c>
      <c r="F372" s="5" t="s">
        <v>23</v>
      </c>
      <c r="G372" s="5" t="s">
        <v>33</v>
      </c>
      <c r="H372" s="5">
        <v>529062</v>
      </c>
      <c r="I372">
        <v>666</v>
      </c>
      <c r="J372">
        <v>1396856</v>
      </c>
      <c r="K372">
        <v>180</v>
      </c>
      <c r="L372">
        <v>12.35</v>
      </c>
      <c r="M372" t="s">
        <v>5</v>
      </c>
      <c r="N372" t="s">
        <v>51</v>
      </c>
      <c r="O372" t="s">
        <v>27</v>
      </c>
      <c r="P372">
        <v>8718.7099999999991</v>
      </c>
      <c r="Q372">
        <v>904592.26</v>
      </c>
      <c r="R372" t="s">
        <v>28</v>
      </c>
      <c r="S372" s="1">
        <v>45680</v>
      </c>
    </row>
    <row r="373" spans="1:19" x14ac:dyDescent="0.25">
      <c r="A373" s="5" t="s">
        <v>783</v>
      </c>
      <c r="B373" s="5" t="s">
        <v>784</v>
      </c>
      <c r="C373" s="5" t="s">
        <v>21</v>
      </c>
      <c r="D373" s="5">
        <v>53</v>
      </c>
      <c r="E373" s="5" t="s">
        <v>22</v>
      </c>
      <c r="F373" s="5" t="s">
        <v>23</v>
      </c>
      <c r="G373" s="5" t="s">
        <v>24</v>
      </c>
      <c r="H373" s="5">
        <v>1921076</v>
      </c>
      <c r="I373">
        <v>793</v>
      </c>
      <c r="J373">
        <v>415061</v>
      </c>
      <c r="K373">
        <v>48</v>
      </c>
      <c r="L373">
        <v>14.97</v>
      </c>
      <c r="M373" t="s">
        <v>54</v>
      </c>
      <c r="N373" t="s">
        <v>51</v>
      </c>
      <c r="O373" t="s">
        <v>27</v>
      </c>
      <c r="P373">
        <v>9941.58</v>
      </c>
      <c r="Q373">
        <v>91675.87</v>
      </c>
      <c r="R373" t="s">
        <v>28</v>
      </c>
      <c r="S373" s="1">
        <v>45477</v>
      </c>
    </row>
    <row r="374" spans="1:19" x14ac:dyDescent="0.25">
      <c r="A374" s="5" t="s">
        <v>785</v>
      </c>
      <c r="B374" s="5" t="s">
        <v>786</v>
      </c>
      <c r="C374" s="5" t="s">
        <v>21</v>
      </c>
      <c r="D374" s="5">
        <v>34</v>
      </c>
      <c r="E374" s="5" t="s">
        <v>32</v>
      </c>
      <c r="F374" s="5" t="s">
        <v>23</v>
      </c>
      <c r="G374" s="5" t="s">
        <v>24</v>
      </c>
      <c r="H374" s="5">
        <v>1315615</v>
      </c>
      <c r="I374">
        <v>710</v>
      </c>
      <c r="J374">
        <v>549547</v>
      </c>
      <c r="K374">
        <v>12</v>
      </c>
      <c r="L374">
        <v>8.84</v>
      </c>
      <c r="M374" t="s">
        <v>5</v>
      </c>
      <c r="N374" t="s">
        <v>26</v>
      </c>
      <c r="O374" t="s">
        <v>27</v>
      </c>
      <c r="P374">
        <v>49843.91</v>
      </c>
      <c r="Q374">
        <v>286966.75</v>
      </c>
      <c r="R374" t="s">
        <v>28</v>
      </c>
      <c r="S374" s="1">
        <v>45400</v>
      </c>
    </row>
    <row r="375" spans="1:19" x14ac:dyDescent="0.25">
      <c r="A375" s="5" t="s">
        <v>787</v>
      </c>
      <c r="B375" s="5" t="s">
        <v>788</v>
      </c>
      <c r="C375" s="5" t="s">
        <v>31</v>
      </c>
      <c r="D375" s="5">
        <v>54</v>
      </c>
      <c r="E375" s="5" t="s">
        <v>22</v>
      </c>
      <c r="F375" s="5" t="s">
        <v>23</v>
      </c>
      <c r="G375" s="5" t="s">
        <v>24</v>
      </c>
      <c r="H375" s="5">
        <v>674612</v>
      </c>
      <c r="I375">
        <v>756</v>
      </c>
      <c r="J375">
        <v>1523336</v>
      </c>
      <c r="K375">
        <v>180</v>
      </c>
      <c r="L375">
        <v>10.26</v>
      </c>
      <c r="M375" t="s">
        <v>25</v>
      </c>
      <c r="N375" t="s">
        <v>104</v>
      </c>
      <c r="O375" t="s">
        <v>27</v>
      </c>
      <c r="P375">
        <v>9331.2800000000007</v>
      </c>
      <c r="Q375">
        <v>1048484.5</v>
      </c>
      <c r="R375" t="s">
        <v>28</v>
      </c>
      <c r="S375" s="1">
        <v>45462</v>
      </c>
    </row>
    <row r="376" spans="1:19" x14ac:dyDescent="0.25">
      <c r="A376" s="5" t="s">
        <v>789</v>
      </c>
      <c r="B376" s="5" t="s">
        <v>790</v>
      </c>
      <c r="C376" s="5" t="s">
        <v>21</v>
      </c>
      <c r="D376" s="5">
        <v>56</v>
      </c>
      <c r="E376" s="5" t="s">
        <v>32</v>
      </c>
      <c r="F376" s="5" t="s">
        <v>42</v>
      </c>
      <c r="G376" s="5" t="s">
        <v>33</v>
      </c>
      <c r="H376" s="5">
        <v>829683</v>
      </c>
      <c r="I376">
        <v>847</v>
      </c>
      <c r="J376">
        <v>246535</v>
      </c>
      <c r="K376">
        <v>60</v>
      </c>
      <c r="L376">
        <v>11.37</v>
      </c>
      <c r="M376" t="s">
        <v>43</v>
      </c>
      <c r="N376" t="s">
        <v>51</v>
      </c>
      <c r="O376" t="s">
        <v>27</v>
      </c>
      <c r="P376">
        <v>4576.1000000000004</v>
      </c>
      <c r="Q376">
        <v>71061.039999999994</v>
      </c>
      <c r="R376" t="s">
        <v>28</v>
      </c>
      <c r="S376" s="1">
        <v>45416</v>
      </c>
    </row>
    <row r="377" spans="1:19" x14ac:dyDescent="0.25">
      <c r="A377" s="5" t="s">
        <v>791</v>
      </c>
      <c r="B377" s="5" t="s">
        <v>792</v>
      </c>
      <c r="C377" s="5" t="s">
        <v>31</v>
      </c>
      <c r="D377" s="5">
        <v>30</v>
      </c>
      <c r="E377" s="5" t="s">
        <v>32</v>
      </c>
      <c r="F377" s="5" t="s">
        <v>42</v>
      </c>
      <c r="G377" s="5" t="s">
        <v>33</v>
      </c>
      <c r="H377" s="5">
        <v>1199609</v>
      </c>
      <c r="I377">
        <v>565</v>
      </c>
      <c r="J377">
        <v>469147</v>
      </c>
      <c r="K377">
        <v>48</v>
      </c>
      <c r="L377">
        <v>14.66</v>
      </c>
      <c r="M377" t="s">
        <v>43</v>
      </c>
      <c r="N377" t="s">
        <v>26</v>
      </c>
      <c r="O377" t="s">
        <v>39</v>
      </c>
      <c r="P377">
        <v>11206.75</v>
      </c>
      <c r="Q377">
        <v>105322.7</v>
      </c>
      <c r="R377" t="s">
        <v>28</v>
      </c>
      <c r="S377" s="1">
        <v>45649</v>
      </c>
    </row>
    <row r="378" spans="1:19" x14ac:dyDescent="0.25">
      <c r="A378" s="5" t="s">
        <v>793</v>
      </c>
      <c r="B378" s="5" t="s">
        <v>794</v>
      </c>
      <c r="C378" s="5" t="s">
        <v>31</v>
      </c>
      <c r="D378" s="5">
        <v>58</v>
      </c>
      <c r="E378" s="5" t="s">
        <v>32</v>
      </c>
      <c r="F378" s="5" t="s">
        <v>42</v>
      </c>
      <c r="G378" s="5" t="s">
        <v>33</v>
      </c>
      <c r="H378" s="5">
        <v>694101</v>
      </c>
      <c r="I378">
        <v>847</v>
      </c>
      <c r="J378">
        <v>227267</v>
      </c>
      <c r="K378">
        <v>60</v>
      </c>
      <c r="L378">
        <v>11.4</v>
      </c>
      <c r="M378" t="s">
        <v>54</v>
      </c>
      <c r="N378" t="s">
        <v>34</v>
      </c>
      <c r="O378" t="s">
        <v>27</v>
      </c>
      <c r="P378">
        <v>4219.59</v>
      </c>
      <c r="Q378">
        <v>75709.37</v>
      </c>
      <c r="R378" t="s">
        <v>28</v>
      </c>
      <c r="S378" s="1">
        <v>45370</v>
      </c>
    </row>
    <row r="379" spans="1:19" x14ac:dyDescent="0.25">
      <c r="A379" s="5" t="s">
        <v>795</v>
      </c>
      <c r="B379" s="5" t="s">
        <v>796</v>
      </c>
      <c r="C379" s="5" t="s">
        <v>21</v>
      </c>
      <c r="D379" s="5">
        <v>44</v>
      </c>
      <c r="E379" s="5" t="s">
        <v>22</v>
      </c>
      <c r="F379" s="5" t="s">
        <v>42</v>
      </c>
      <c r="G379" s="5" t="s">
        <v>24</v>
      </c>
      <c r="H379" s="5">
        <v>1875721</v>
      </c>
      <c r="I379">
        <v>593</v>
      </c>
      <c r="J379">
        <v>1512253</v>
      </c>
      <c r="K379">
        <v>48</v>
      </c>
      <c r="L379">
        <v>14.51</v>
      </c>
      <c r="M379" t="s">
        <v>25</v>
      </c>
      <c r="N379" t="s">
        <v>34</v>
      </c>
      <c r="O379" t="s">
        <v>39</v>
      </c>
      <c r="P379">
        <v>36076.69</v>
      </c>
      <c r="Q379">
        <v>1209896.8</v>
      </c>
      <c r="R379" t="s">
        <v>28</v>
      </c>
      <c r="S379" s="1">
        <v>45310</v>
      </c>
    </row>
    <row r="380" spans="1:19" x14ac:dyDescent="0.25">
      <c r="A380" s="5" t="s">
        <v>797</v>
      </c>
      <c r="B380" s="5" t="s">
        <v>798</v>
      </c>
      <c r="C380" s="5" t="s">
        <v>31</v>
      </c>
      <c r="D380" s="5">
        <v>48</v>
      </c>
      <c r="E380" s="5" t="s">
        <v>22</v>
      </c>
      <c r="F380" s="5" t="s">
        <v>42</v>
      </c>
      <c r="G380" s="5" t="s">
        <v>33</v>
      </c>
      <c r="H380" s="5">
        <v>979407</v>
      </c>
      <c r="I380">
        <v>684</v>
      </c>
      <c r="J380">
        <v>1755642</v>
      </c>
      <c r="K380">
        <v>120</v>
      </c>
      <c r="L380">
        <v>15.02</v>
      </c>
      <c r="M380" t="s">
        <v>5</v>
      </c>
      <c r="N380" t="s">
        <v>51</v>
      </c>
      <c r="O380" t="s">
        <v>27</v>
      </c>
      <c r="P380">
        <v>16827.830000000002</v>
      </c>
      <c r="Q380">
        <v>1070402.82</v>
      </c>
      <c r="R380" t="s">
        <v>28</v>
      </c>
      <c r="S380" s="1">
        <v>45426</v>
      </c>
    </row>
    <row r="381" spans="1:19" x14ac:dyDescent="0.25">
      <c r="A381" s="5" t="s">
        <v>799</v>
      </c>
      <c r="B381" s="5" t="s">
        <v>800</v>
      </c>
      <c r="C381" s="5" t="s">
        <v>31</v>
      </c>
      <c r="D381" s="5">
        <v>44</v>
      </c>
      <c r="E381" s="5" t="s">
        <v>32</v>
      </c>
      <c r="F381" s="5" t="s">
        <v>23</v>
      </c>
      <c r="G381" s="5" t="s">
        <v>33</v>
      </c>
      <c r="H381" s="5">
        <v>1740842</v>
      </c>
      <c r="I381">
        <v>621</v>
      </c>
      <c r="J381">
        <v>1141548</v>
      </c>
      <c r="K381">
        <v>24</v>
      </c>
      <c r="L381">
        <v>9.77</v>
      </c>
      <c r="M381" t="s">
        <v>43</v>
      </c>
      <c r="N381" t="s">
        <v>26</v>
      </c>
      <c r="O381" t="s">
        <v>27</v>
      </c>
      <c r="P381">
        <v>52211.55</v>
      </c>
      <c r="Q381">
        <v>557772.03</v>
      </c>
      <c r="R381" t="s">
        <v>28</v>
      </c>
      <c r="S381" s="1">
        <v>45407</v>
      </c>
    </row>
    <row r="382" spans="1:19" x14ac:dyDescent="0.25">
      <c r="A382" s="5" t="s">
        <v>801</v>
      </c>
      <c r="B382" s="5" t="s">
        <v>802</v>
      </c>
      <c r="C382" s="5" t="s">
        <v>21</v>
      </c>
      <c r="D382" s="5">
        <v>49</v>
      </c>
      <c r="E382" s="5" t="s">
        <v>22</v>
      </c>
      <c r="F382" s="5" t="s">
        <v>23</v>
      </c>
      <c r="G382" s="5" t="s">
        <v>33</v>
      </c>
      <c r="H382" s="5">
        <v>1012291</v>
      </c>
      <c r="I382">
        <v>768</v>
      </c>
      <c r="J382">
        <v>626149</v>
      </c>
      <c r="K382">
        <v>180</v>
      </c>
      <c r="L382">
        <v>10.53</v>
      </c>
      <c r="M382" t="s">
        <v>25</v>
      </c>
      <c r="N382" t="s">
        <v>104</v>
      </c>
      <c r="O382" t="s">
        <v>27</v>
      </c>
      <c r="P382">
        <v>3844.9</v>
      </c>
      <c r="Q382">
        <v>430470.61</v>
      </c>
      <c r="R382" t="s">
        <v>28</v>
      </c>
      <c r="S382" s="1">
        <v>45691</v>
      </c>
    </row>
    <row r="383" spans="1:19" x14ac:dyDescent="0.25">
      <c r="A383" s="5" t="s">
        <v>803</v>
      </c>
      <c r="B383" s="5" t="s">
        <v>804</v>
      </c>
      <c r="C383" s="5" t="s">
        <v>31</v>
      </c>
      <c r="D383" s="5">
        <v>46</v>
      </c>
      <c r="E383" s="5" t="s">
        <v>22</v>
      </c>
      <c r="F383" s="5" t="s">
        <v>23</v>
      </c>
      <c r="G383" s="5" t="s">
        <v>24</v>
      </c>
      <c r="H383" s="5">
        <v>1201877</v>
      </c>
      <c r="I383">
        <v>698</v>
      </c>
      <c r="J383">
        <v>1121262</v>
      </c>
      <c r="K383">
        <v>48</v>
      </c>
      <c r="L383">
        <v>13.92</v>
      </c>
      <c r="M383" t="s">
        <v>43</v>
      </c>
      <c r="N383" t="s">
        <v>104</v>
      </c>
      <c r="O383" t="s">
        <v>27</v>
      </c>
      <c r="P383">
        <v>26611.279999999999</v>
      </c>
      <c r="Q383">
        <v>1085435.1599999999</v>
      </c>
      <c r="R383" t="s">
        <v>28</v>
      </c>
      <c r="S383" s="1">
        <v>45526</v>
      </c>
    </row>
    <row r="384" spans="1:19" x14ac:dyDescent="0.25">
      <c r="A384" s="5" t="s">
        <v>805</v>
      </c>
      <c r="B384" s="5" t="s">
        <v>806</v>
      </c>
      <c r="C384" s="5" t="s">
        <v>21</v>
      </c>
      <c r="D384" s="5">
        <v>49</v>
      </c>
      <c r="E384" s="5" t="s">
        <v>32</v>
      </c>
      <c r="F384" s="5" t="s">
        <v>42</v>
      </c>
      <c r="G384" s="5" t="s">
        <v>24</v>
      </c>
      <c r="H384" s="5">
        <v>1419902</v>
      </c>
      <c r="I384">
        <v>771</v>
      </c>
      <c r="J384">
        <v>741315</v>
      </c>
      <c r="K384">
        <v>60</v>
      </c>
      <c r="L384">
        <v>15.05</v>
      </c>
      <c r="M384" t="s">
        <v>57</v>
      </c>
      <c r="N384" t="s">
        <v>26</v>
      </c>
      <c r="O384" t="s">
        <v>27</v>
      </c>
      <c r="P384">
        <v>14214.72</v>
      </c>
      <c r="Q384">
        <v>264823.34000000003</v>
      </c>
      <c r="R384" t="s">
        <v>28</v>
      </c>
      <c r="S384" s="1">
        <v>45428</v>
      </c>
    </row>
    <row r="385" spans="1:19" x14ac:dyDescent="0.25">
      <c r="A385" s="5" t="s">
        <v>807</v>
      </c>
      <c r="B385" s="5" t="s">
        <v>808</v>
      </c>
      <c r="C385" s="5" t="s">
        <v>31</v>
      </c>
      <c r="D385" s="5">
        <v>38</v>
      </c>
      <c r="E385" s="5" t="s">
        <v>22</v>
      </c>
      <c r="F385" s="5" t="s">
        <v>42</v>
      </c>
      <c r="G385" s="5" t="s">
        <v>24</v>
      </c>
      <c r="H385" s="5">
        <v>467257</v>
      </c>
      <c r="I385">
        <v>674</v>
      </c>
      <c r="J385">
        <v>717270</v>
      </c>
      <c r="K385">
        <v>24</v>
      </c>
      <c r="L385">
        <v>8.5</v>
      </c>
      <c r="M385" t="s">
        <v>25</v>
      </c>
      <c r="N385" t="s">
        <v>44</v>
      </c>
      <c r="O385" t="s">
        <v>27</v>
      </c>
      <c r="P385">
        <v>32426.58</v>
      </c>
      <c r="Q385">
        <v>561489.21</v>
      </c>
      <c r="R385" t="s">
        <v>28</v>
      </c>
      <c r="S385" s="1">
        <v>45572</v>
      </c>
    </row>
    <row r="386" spans="1:19" x14ac:dyDescent="0.25">
      <c r="A386" s="5" t="s">
        <v>809</v>
      </c>
      <c r="B386" s="5" t="s">
        <v>810</v>
      </c>
      <c r="C386" s="5" t="s">
        <v>21</v>
      </c>
      <c r="D386" s="5">
        <v>43</v>
      </c>
      <c r="E386" s="5" t="s">
        <v>22</v>
      </c>
      <c r="F386" s="5" t="s">
        <v>42</v>
      </c>
      <c r="G386" s="5" t="s">
        <v>33</v>
      </c>
      <c r="H386" s="5">
        <v>398932</v>
      </c>
      <c r="I386">
        <v>612</v>
      </c>
      <c r="J386">
        <v>1024071</v>
      </c>
      <c r="K386">
        <v>84</v>
      </c>
      <c r="L386">
        <v>8.02</v>
      </c>
      <c r="M386" t="s">
        <v>5</v>
      </c>
      <c r="N386" t="s">
        <v>104</v>
      </c>
      <c r="O386" t="s">
        <v>27</v>
      </c>
      <c r="P386">
        <v>13169.07</v>
      </c>
      <c r="Q386">
        <v>543343.47</v>
      </c>
      <c r="R386" t="s">
        <v>28</v>
      </c>
      <c r="S386" s="1">
        <v>45407</v>
      </c>
    </row>
    <row r="387" spans="1:19" x14ac:dyDescent="0.25">
      <c r="A387" s="5" t="s">
        <v>811</v>
      </c>
      <c r="B387" s="5" t="s">
        <v>812</v>
      </c>
      <c r="C387" s="5" t="s">
        <v>31</v>
      </c>
      <c r="D387" s="5">
        <v>40</v>
      </c>
      <c r="E387" s="5" t="s">
        <v>32</v>
      </c>
      <c r="F387" s="5" t="s">
        <v>42</v>
      </c>
      <c r="G387" s="5" t="s">
        <v>33</v>
      </c>
      <c r="H387" s="5">
        <v>1300736</v>
      </c>
      <c r="I387">
        <v>750</v>
      </c>
      <c r="J387">
        <v>1416684</v>
      </c>
      <c r="K387">
        <v>36</v>
      </c>
      <c r="L387">
        <v>15.14</v>
      </c>
      <c r="M387" t="s">
        <v>43</v>
      </c>
      <c r="N387" t="s">
        <v>38</v>
      </c>
      <c r="O387" t="s">
        <v>27</v>
      </c>
      <c r="P387">
        <v>45310.28</v>
      </c>
      <c r="Q387">
        <v>431039.75</v>
      </c>
      <c r="R387" t="s">
        <v>28</v>
      </c>
      <c r="S387" s="1">
        <v>45972</v>
      </c>
    </row>
    <row r="388" spans="1:19" x14ac:dyDescent="0.25">
      <c r="A388" s="5" t="s">
        <v>813</v>
      </c>
      <c r="B388" s="5" t="s">
        <v>814</v>
      </c>
      <c r="C388" s="5" t="s">
        <v>21</v>
      </c>
      <c r="D388" s="5">
        <v>34</v>
      </c>
      <c r="E388" s="5" t="s">
        <v>22</v>
      </c>
      <c r="F388" s="5" t="s">
        <v>42</v>
      </c>
      <c r="G388" s="5" t="s">
        <v>24</v>
      </c>
      <c r="H388" s="5">
        <v>1557710</v>
      </c>
      <c r="I388">
        <v>730</v>
      </c>
      <c r="J388">
        <v>1004752</v>
      </c>
      <c r="K388">
        <v>12</v>
      </c>
      <c r="L388">
        <v>12.58</v>
      </c>
      <c r="M388" t="s">
        <v>5</v>
      </c>
      <c r="N388" t="s">
        <v>26</v>
      </c>
      <c r="O388" t="s">
        <v>27</v>
      </c>
      <c r="P388">
        <v>94262.48</v>
      </c>
      <c r="Q388">
        <v>836323.77</v>
      </c>
      <c r="R388" t="s">
        <v>28</v>
      </c>
      <c r="S388" s="1">
        <v>45730</v>
      </c>
    </row>
    <row r="389" spans="1:19" x14ac:dyDescent="0.25">
      <c r="A389" s="5" t="s">
        <v>815</v>
      </c>
      <c r="B389" s="5" t="s">
        <v>816</v>
      </c>
      <c r="C389" s="5" t="s">
        <v>21</v>
      </c>
      <c r="D389" s="5">
        <v>40</v>
      </c>
      <c r="E389" s="5" t="s">
        <v>32</v>
      </c>
      <c r="F389" s="5" t="s">
        <v>42</v>
      </c>
      <c r="G389" s="5" t="s">
        <v>24</v>
      </c>
      <c r="H389" s="5">
        <v>1391073</v>
      </c>
      <c r="I389">
        <v>556</v>
      </c>
      <c r="J389">
        <v>312523</v>
      </c>
      <c r="K389">
        <v>12</v>
      </c>
      <c r="L389">
        <v>9.84</v>
      </c>
      <c r="M389" t="s">
        <v>5</v>
      </c>
      <c r="N389" t="s">
        <v>44</v>
      </c>
      <c r="O389" t="s">
        <v>39</v>
      </c>
      <c r="P389">
        <v>28606.27</v>
      </c>
      <c r="Q389">
        <v>268442.84999999998</v>
      </c>
      <c r="R389" t="s">
        <v>28</v>
      </c>
      <c r="S389" s="1">
        <v>45824</v>
      </c>
    </row>
    <row r="390" spans="1:19" x14ac:dyDescent="0.25">
      <c r="A390" s="5" t="s">
        <v>817</v>
      </c>
      <c r="B390" s="5" t="s">
        <v>818</v>
      </c>
      <c r="C390" s="5" t="s">
        <v>21</v>
      </c>
      <c r="D390" s="5">
        <v>40</v>
      </c>
      <c r="E390" s="5" t="s">
        <v>32</v>
      </c>
      <c r="F390" s="5" t="s">
        <v>23</v>
      </c>
      <c r="G390" s="5" t="s">
        <v>33</v>
      </c>
      <c r="H390" s="5">
        <v>317349</v>
      </c>
      <c r="I390">
        <v>833</v>
      </c>
      <c r="J390">
        <v>872725</v>
      </c>
      <c r="K390">
        <v>12</v>
      </c>
      <c r="L390">
        <v>7.61</v>
      </c>
      <c r="M390" t="s">
        <v>57</v>
      </c>
      <c r="N390" t="s">
        <v>51</v>
      </c>
      <c r="O390" t="s">
        <v>39</v>
      </c>
      <c r="P390">
        <v>78261.61</v>
      </c>
      <c r="Q390">
        <v>646772.73</v>
      </c>
      <c r="R390" t="s">
        <v>28</v>
      </c>
      <c r="S390" s="1">
        <v>45473</v>
      </c>
    </row>
    <row r="391" spans="1:19" x14ac:dyDescent="0.25">
      <c r="A391" s="5" t="s">
        <v>819</v>
      </c>
      <c r="B391" s="5" t="s">
        <v>820</v>
      </c>
      <c r="C391" s="5" t="s">
        <v>31</v>
      </c>
      <c r="D391" s="5">
        <v>24</v>
      </c>
      <c r="E391" s="5" t="s">
        <v>22</v>
      </c>
      <c r="F391" s="5" t="s">
        <v>23</v>
      </c>
      <c r="G391" s="5" t="s">
        <v>33</v>
      </c>
      <c r="H391" s="5">
        <v>1008516</v>
      </c>
      <c r="I391">
        <v>767</v>
      </c>
      <c r="J391">
        <v>1102246</v>
      </c>
      <c r="K391">
        <v>240</v>
      </c>
      <c r="L391">
        <v>10.02</v>
      </c>
      <c r="M391" t="s">
        <v>57</v>
      </c>
      <c r="N391" t="s">
        <v>51</v>
      </c>
      <c r="O391" t="s">
        <v>27</v>
      </c>
      <c r="P391">
        <v>5052.88</v>
      </c>
      <c r="Q391">
        <v>583966.53</v>
      </c>
      <c r="R391" t="s">
        <v>28</v>
      </c>
      <c r="S391" s="1">
        <v>45488</v>
      </c>
    </row>
    <row r="392" spans="1:19" x14ac:dyDescent="0.25">
      <c r="A392" s="5" t="s">
        <v>821</v>
      </c>
      <c r="B392" s="5" t="s">
        <v>822</v>
      </c>
      <c r="C392" s="5" t="s">
        <v>21</v>
      </c>
      <c r="D392" s="5">
        <v>51</v>
      </c>
      <c r="E392" s="5" t="s">
        <v>22</v>
      </c>
      <c r="F392" s="5" t="s">
        <v>23</v>
      </c>
      <c r="G392" s="5" t="s">
        <v>24</v>
      </c>
      <c r="H392" s="5">
        <v>1977874</v>
      </c>
      <c r="I392">
        <v>731</v>
      </c>
      <c r="J392">
        <v>1400895</v>
      </c>
      <c r="K392">
        <v>180</v>
      </c>
      <c r="L392">
        <v>9.2799999999999994</v>
      </c>
      <c r="M392" t="s">
        <v>43</v>
      </c>
      <c r="N392" t="s">
        <v>104</v>
      </c>
      <c r="O392" t="s">
        <v>27</v>
      </c>
      <c r="P392">
        <v>8504.99</v>
      </c>
      <c r="Q392">
        <v>631991.74</v>
      </c>
      <c r="R392" t="s">
        <v>28</v>
      </c>
      <c r="S392" s="1">
        <v>45912</v>
      </c>
    </row>
    <row r="393" spans="1:19" x14ac:dyDescent="0.25">
      <c r="A393" s="5" t="s">
        <v>823</v>
      </c>
      <c r="B393" s="5" t="s">
        <v>824</v>
      </c>
      <c r="C393" s="5" t="s">
        <v>21</v>
      </c>
      <c r="D393" s="5">
        <v>47</v>
      </c>
      <c r="E393" s="5" t="s">
        <v>32</v>
      </c>
      <c r="F393" s="5" t="s">
        <v>23</v>
      </c>
      <c r="G393" s="5" t="s">
        <v>24</v>
      </c>
      <c r="H393" s="5">
        <v>283045</v>
      </c>
      <c r="I393">
        <v>582</v>
      </c>
      <c r="J393">
        <v>392542</v>
      </c>
      <c r="K393">
        <v>48</v>
      </c>
      <c r="L393">
        <v>14.9</v>
      </c>
      <c r="M393" t="s">
        <v>43</v>
      </c>
      <c r="N393" t="s">
        <v>104</v>
      </c>
      <c r="O393" t="s">
        <v>27</v>
      </c>
      <c r="P393">
        <v>9396.4699999999993</v>
      </c>
      <c r="Q393">
        <v>254038.14</v>
      </c>
      <c r="R393" t="s">
        <v>35</v>
      </c>
      <c r="S393" s="1">
        <v>45377</v>
      </c>
    </row>
    <row r="394" spans="1:19" x14ac:dyDescent="0.25">
      <c r="A394" s="5" t="s">
        <v>825</v>
      </c>
      <c r="B394" s="5" t="s">
        <v>826</v>
      </c>
      <c r="C394" s="5" t="s">
        <v>21</v>
      </c>
      <c r="D394" s="5">
        <v>52</v>
      </c>
      <c r="E394" s="5" t="s">
        <v>22</v>
      </c>
      <c r="F394" s="5" t="s">
        <v>23</v>
      </c>
      <c r="G394" s="5" t="s">
        <v>33</v>
      </c>
      <c r="H394" s="5">
        <v>1142945</v>
      </c>
      <c r="I394">
        <v>697</v>
      </c>
      <c r="J394">
        <v>294979</v>
      </c>
      <c r="K394">
        <v>180</v>
      </c>
      <c r="L394">
        <v>11.28</v>
      </c>
      <c r="M394" t="s">
        <v>25</v>
      </c>
      <c r="N394" t="s">
        <v>26</v>
      </c>
      <c r="O394" t="s">
        <v>27</v>
      </c>
      <c r="P394">
        <v>1823.63</v>
      </c>
      <c r="Q394">
        <v>204253.27</v>
      </c>
      <c r="R394" t="s">
        <v>28</v>
      </c>
      <c r="S394" s="1">
        <v>45669</v>
      </c>
    </row>
    <row r="395" spans="1:19" x14ac:dyDescent="0.25">
      <c r="A395" s="5" t="s">
        <v>827</v>
      </c>
      <c r="B395" s="5" t="s">
        <v>828</v>
      </c>
      <c r="C395" s="5" t="s">
        <v>31</v>
      </c>
      <c r="D395" s="5">
        <v>21</v>
      </c>
      <c r="E395" s="5" t="s">
        <v>32</v>
      </c>
      <c r="F395" s="5" t="s">
        <v>23</v>
      </c>
      <c r="G395" s="5" t="s">
        <v>33</v>
      </c>
      <c r="H395" s="5">
        <v>1435661</v>
      </c>
      <c r="I395">
        <v>708</v>
      </c>
      <c r="J395">
        <v>1744834</v>
      </c>
      <c r="K395">
        <v>60</v>
      </c>
      <c r="L395">
        <v>9.11</v>
      </c>
      <c r="M395" t="s">
        <v>57</v>
      </c>
      <c r="N395" t="s">
        <v>51</v>
      </c>
      <c r="O395" t="s">
        <v>27</v>
      </c>
      <c r="P395">
        <v>31729.81</v>
      </c>
      <c r="Q395">
        <v>1383340.45</v>
      </c>
      <c r="R395" t="s">
        <v>28</v>
      </c>
      <c r="S395" s="1">
        <v>45551</v>
      </c>
    </row>
    <row r="396" spans="1:19" x14ac:dyDescent="0.25">
      <c r="A396" s="5" t="s">
        <v>829</v>
      </c>
      <c r="B396" s="5" t="s">
        <v>830</v>
      </c>
      <c r="C396" s="5" t="s">
        <v>31</v>
      </c>
      <c r="D396" s="5">
        <v>51</v>
      </c>
      <c r="E396" s="5" t="s">
        <v>32</v>
      </c>
      <c r="F396" s="5" t="s">
        <v>23</v>
      </c>
      <c r="G396" s="5" t="s">
        <v>24</v>
      </c>
      <c r="H396" s="5">
        <v>1231659</v>
      </c>
      <c r="I396">
        <v>688</v>
      </c>
      <c r="J396">
        <v>230087</v>
      </c>
      <c r="K396">
        <v>12</v>
      </c>
      <c r="L396">
        <v>7.58</v>
      </c>
      <c r="M396" t="s">
        <v>5</v>
      </c>
      <c r="N396" t="s">
        <v>44</v>
      </c>
      <c r="O396" t="s">
        <v>27</v>
      </c>
      <c r="P396">
        <v>20627.3</v>
      </c>
      <c r="Q396">
        <v>215390.78</v>
      </c>
      <c r="R396" t="s">
        <v>28</v>
      </c>
      <c r="S396" s="1">
        <v>45563</v>
      </c>
    </row>
    <row r="397" spans="1:19" x14ac:dyDescent="0.25">
      <c r="A397" s="5" t="s">
        <v>831</v>
      </c>
      <c r="B397" s="5" t="s">
        <v>832</v>
      </c>
      <c r="C397" s="5" t="s">
        <v>31</v>
      </c>
      <c r="D397" s="5">
        <v>25</v>
      </c>
      <c r="E397" s="5" t="s">
        <v>22</v>
      </c>
      <c r="F397" s="5" t="s">
        <v>42</v>
      </c>
      <c r="G397" s="5" t="s">
        <v>24</v>
      </c>
      <c r="H397" s="5">
        <v>1891903</v>
      </c>
      <c r="I397">
        <v>848</v>
      </c>
      <c r="J397">
        <v>141095</v>
      </c>
      <c r="K397">
        <v>60</v>
      </c>
      <c r="L397">
        <v>11.84</v>
      </c>
      <c r="M397" t="s">
        <v>43</v>
      </c>
      <c r="N397" t="s">
        <v>26</v>
      </c>
      <c r="O397" t="s">
        <v>27</v>
      </c>
      <c r="P397">
        <v>2630.01</v>
      </c>
      <c r="Q397">
        <v>135247.4</v>
      </c>
      <c r="R397" t="s">
        <v>28</v>
      </c>
      <c r="S397" s="1">
        <v>45472</v>
      </c>
    </row>
    <row r="398" spans="1:19" x14ac:dyDescent="0.25">
      <c r="A398" s="5" t="s">
        <v>833</v>
      </c>
      <c r="B398" s="5" t="s">
        <v>834</v>
      </c>
      <c r="C398" s="5" t="s">
        <v>21</v>
      </c>
      <c r="D398" s="5">
        <v>24</v>
      </c>
      <c r="E398" s="5" t="s">
        <v>22</v>
      </c>
      <c r="F398" s="5" t="s">
        <v>23</v>
      </c>
      <c r="G398" s="5" t="s">
        <v>33</v>
      </c>
      <c r="H398" s="5">
        <v>858904</v>
      </c>
      <c r="I398">
        <v>664</v>
      </c>
      <c r="J398">
        <v>1714156</v>
      </c>
      <c r="K398">
        <v>60</v>
      </c>
      <c r="L398">
        <v>12.36</v>
      </c>
      <c r="M398" t="s">
        <v>54</v>
      </c>
      <c r="N398" t="s">
        <v>26</v>
      </c>
      <c r="O398" t="s">
        <v>27</v>
      </c>
      <c r="P398">
        <v>32100.43</v>
      </c>
      <c r="Q398">
        <v>1706433.94</v>
      </c>
      <c r="R398" t="s">
        <v>28</v>
      </c>
      <c r="S398" s="1">
        <v>45484</v>
      </c>
    </row>
    <row r="399" spans="1:19" x14ac:dyDescent="0.25">
      <c r="A399" s="5" t="s">
        <v>835</v>
      </c>
      <c r="B399" s="5" t="s">
        <v>836</v>
      </c>
      <c r="C399" s="5" t="s">
        <v>31</v>
      </c>
      <c r="D399" s="5">
        <v>30</v>
      </c>
      <c r="E399" s="5" t="s">
        <v>22</v>
      </c>
      <c r="F399" s="5" t="s">
        <v>23</v>
      </c>
      <c r="G399" s="5" t="s">
        <v>24</v>
      </c>
      <c r="H399" s="5">
        <v>1443918</v>
      </c>
      <c r="I399">
        <v>731</v>
      </c>
      <c r="J399">
        <v>1271715</v>
      </c>
      <c r="K399">
        <v>60</v>
      </c>
      <c r="L399">
        <v>15.35</v>
      </c>
      <c r="M399" t="s">
        <v>54</v>
      </c>
      <c r="N399" t="s">
        <v>51</v>
      </c>
      <c r="O399" t="s">
        <v>27</v>
      </c>
      <c r="P399">
        <v>24448.720000000001</v>
      </c>
      <c r="Q399">
        <v>624883.27</v>
      </c>
      <c r="R399" t="s">
        <v>28</v>
      </c>
      <c r="S399" s="1">
        <v>45656</v>
      </c>
    </row>
    <row r="400" spans="1:19" x14ac:dyDescent="0.25">
      <c r="A400" s="5" t="s">
        <v>837</v>
      </c>
      <c r="B400" s="5" t="s">
        <v>838</v>
      </c>
      <c r="C400" s="5" t="s">
        <v>21</v>
      </c>
      <c r="D400" s="5">
        <v>52</v>
      </c>
      <c r="E400" s="5" t="s">
        <v>22</v>
      </c>
      <c r="F400" s="5" t="s">
        <v>23</v>
      </c>
      <c r="G400" s="5" t="s">
        <v>24</v>
      </c>
      <c r="H400" s="5">
        <v>1910359</v>
      </c>
      <c r="I400">
        <v>622</v>
      </c>
      <c r="J400">
        <v>1978725</v>
      </c>
      <c r="K400">
        <v>240</v>
      </c>
      <c r="L400">
        <v>11.24</v>
      </c>
      <c r="M400" t="s">
        <v>25</v>
      </c>
      <c r="N400" t="s">
        <v>51</v>
      </c>
      <c r="O400" t="s">
        <v>39</v>
      </c>
      <c r="P400">
        <v>9171.39</v>
      </c>
      <c r="Q400">
        <v>1107192.56</v>
      </c>
      <c r="R400" t="s">
        <v>28</v>
      </c>
      <c r="S400" s="1">
        <v>45824</v>
      </c>
    </row>
    <row r="401" spans="1:19" x14ac:dyDescent="0.25">
      <c r="A401" s="5" t="s">
        <v>839</v>
      </c>
      <c r="B401" s="5" t="s">
        <v>840</v>
      </c>
      <c r="C401" s="5" t="s">
        <v>31</v>
      </c>
      <c r="D401" s="5">
        <v>50</v>
      </c>
      <c r="E401" s="5" t="s">
        <v>22</v>
      </c>
      <c r="F401" s="5" t="s">
        <v>42</v>
      </c>
      <c r="G401" s="5" t="s">
        <v>24</v>
      </c>
      <c r="H401" s="5">
        <v>1942141</v>
      </c>
      <c r="I401">
        <v>738</v>
      </c>
      <c r="J401">
        <v>871767</v>
      </c>
      <c r="K401">
        <v>12</v>
      </c>
      <c r="L401">
        <v>10.35</v>
      </c>
      <c r="M401" t="s">
        <v>57</v>
      </c>
      <c r="N401" t="s">
        <v>51</v>
      </c>
      <c r="O401" t="s">
        <v>27</v>
      </c>
      <c r="P401">
        <v>80166.240000000005</v>
      </c>
      <c r="Q401">
        <v>125304.35</v>
      </c>
      <c r="R401" t="s">
        <v>28</v>
      </c>
      <c r="S401" s="1">
        <v>45532</v>
      </c>
    </row>
    <row r="402" spans="1:19" x14ac:dyDescent="0.25">
      <c r="A402" s="5" t="s">
        <v>841</v>
      </c>
      <c r="B402" s="5" t="s">
        <v>842</v>
      </c>
      <c r="C402" s="5" t="s">
        <v>21</v>
      </c>
      <c r="D402" s="5">
        <v>26</v>
      </c>
      <c r="E402" s="5" t="s">
        <v>32</v>
      </c>
      <c r="F402" s="5" t="s">
        <v>42</v>
      </c>
      <c r="G402" s="5" t="s">
        <v>24</v>
      </c>
      <c r="H402" s="5">
        <v>318527</v>
      </c>
      <c r="I402">
        <v>754</v>
      </c>
      <c r="J402">
        <v>1177861</v>
      </c>
      <c r="K402">
        <v>60</v>
      </c>
      <c r="L402">
        <v>13.03</v>
      </c>
      <c r="M402" t="s">
        <v>57</v>
      </c>
      <c r="N402" t="s">
        <v>44</v>
      </c>
      <c r="O402" t="s">
        <v>27</v>
      </c>
      <c r="P402">
        <v>22188.94</v>
      </c>
      <c r="Q402">
        <v>168790.99</v>
      </c>
      <c r="R402" t="s">
        <v>28</v>
      </c>
      <c r="S402" s="1">
        <v>45703</v>
      </c>
    </row>
    <row r="403" spans="1:19" x14ac:dyDescent="0.25">
      <c r="A403" s="5" t="s">
        <v>843</v>
      </c>
      <c r="B403" s="5" t="s">
        <v>844</v>
      </c>
      <c r="C403" s="5" t="s">
        <v>21</v>
      </c>
      <c r="D403" s="5">
        <v>57</v>
      </c>
      <c r="E403" s="5" t="s">
        <v>22</v>
      </c>
      <c r="F403" s="5" t="s">
        <v>42</v>
      </c>
      <c r="G403" s="5" t="s">
        <v>33</v>
      </c>
      <c r="H403" s="5">
        <v>274112</v>
      </c>
      <c r="I403">
        <v>757</v>
      </c>
      <c r="J403">
        <v>270267</v>
      </c>
      <c r="K403">
        <v>84</v>
      </c>
      <c r="L403">
        <v>7.98</v>
      </c>
      <c r="M403" t="s">
        <v>54</v>
      </c>
      <c r="N403" t="s">
        <v>51</v>
      </c>
      <c r="O403" t="s">
        <v>27</v>
      </c>
      <c r="P403">
        <v>3474.22</v>
      </c>
      <c r="Q403">
        <v>90571.3</v>
      </c>
      <c r="R403" t="s">
        <v>28</v>
      </c>
      <c r="S403" s="1">
        <v>45828</v>
      </c>
    </row>
    <row r="404" spans="1:19" x14ac:dyDescent="0.25">
      <c r="A404" s="5" t="s">
        <v>845</v>
      </c>
      <c r="B404" s="5" t="s">
        <v>846</v>
      </c>
      <c r="C404" s="5" t="s">
        <v>31</v>
      </c>
      <c r="D404" s="5">
        <v>41</v>
      </c>
      <c r="E404" s="5" t="s">
        <v>32</v>
      </c>
      <c r="F404" s="5" t="s">
        <v>42</v>
      </c>
      <c r="G404" s="5" t="s">
        <v>33</v>
      </c>
      <c r="H404" s="5">
        <v>1273172</v>
      </c>
      <c r="I404">
        <v>709</v>
      </c>
      <c r="J404">
        <v>1999089</v>
      </c>
      <c r="K404">
        <v>120</v>
      </c>
      <c r="L404">
        <v>15.47</v>
      </c>
      <c r="M404" t="s">
        <v>43</v>
      </c>
      <c r="N404" t="s">
        <v>51</v>
      </c>
      <c r="O404" t="s">
        <v>27</v>
      </c>
      <c r="P404">
        <v>19236.23</v>
      </c>
      <c r="Q404">
        <v>734109.77</v>
      </c>
      <c r="R404" t="s">
        <v>28</v>
      </c>
      <c r="S404" s="1">
        <v>45838</v>
      </c>
    </row>
    <row r="405" spans="1:19" x14ac:dyDescent="0.25">
      <c r="A405" s="5" t="s">
        <v>847</v>
      </c>
      <c r="B405" s="5" t="s">
        <v>848</v>
      </c>
      <c r="C405" s="5" t="s">
        <v>21</v>
      </c>
      <c r="D405" s="5">
        <v>52</v>
      </c>
      <c r="E405" s="5" t="s">
        <v>32</v>
      </c>
      <c r="F405" s="5" t="s">
        <v>42</v>
      </c>
      <c r="G405" s="5" t="s">
        <v>24</v>
      </c>
      <c r="H405" s="5">
        <v>1898618</v>
      </c>
      <c r="I405">
        <v>810</v>
      </c>
      <c r="J405">
        <v>365129</v>
      </c>
      <c r="K405">
        <v>120</v>
      </c>
      <c r="L405">
        <v>14.99</v>
      </c>
      <c r="M405" t="s">
        <v>25</v>
      </c>
      <c r="N405" t="s">
        <v>44</v>
      </c>
      <c r="O405" t="s">
        <v>27</v>
      </c>
      <c r="P405">
        <v>3498.85</v>
      </c>
      <c r="Q405">
        <v>340398.59</v>
      </c>
      <c r="R405" t="s">
        <v>28</v>
      </c>
      <c r="S405" s="1">
        <v>45611</v>
      </c>
    </row>
    <row r="406" spans="1:19" x14ac:dyDescent="0.25">
      <c r="A406" s="5" t="s">
        <v>849</v>
      </c>
      <c r="B406" s="5" t="s">
        <v>850</v>
      </c>
      <c r="C406" s="5" t="s">
        <v>31</v>
      </c>
      <c r="D406" s="5">
        <v>41</v>
      </c>
      <c r="E406" s="5" t="s">
        <v>22</v>
      </c>
      <c r="F406" s="5" t="s">
        <v>42</v>
      </c>
      <c r="G406" s="5" t="s">
        <v>33</v>
      </c>
      <c r="H406" s="5">
        <v>865825</v>
      </c>
      <c r="I406">
        <v>560</v>
      </c>
      <c r="J406">
        <v>917554</v>
      </c>
      <c r="K406">
        <v>24</v>
      </c>
      <c r="L406">
        <v>12.13</v>
      </c>
      <c r="M406" t="s">
        <v>54</v>
      </c>
      <c r="N406" t="s">
        <v>51</v>
      </c>
      <c r="O406" t="s">
        <v>39</v>
      </c>
      <c r="P406">
        <v>42868.89</v>
      </c>
      <c r="Q406">
        <v>457005.58</v>
      </c>
      <c r="R406" t="s">
        <v>28</v>
      </c>
      <c r="S406" s="1">
        <v>45926</v>
      </c>
    </row>
    <row r="407" spans="1:19" x14ac:dyDescent="0.25">
      <c r="A407" s="5" t="s">
        <v>851</v>
      </c>
      <c r="B407" s="5" t="s">
        <v>852</v>
      </c>
      <c r="C407" s="5" t="s">
        <v>21</v>
      </c>
      <c r="D407" s="5">
        <v>42</v>
      </c>
      <c r="E407" s="5" t="s">
        <v>32</v>
      </c>
      <c r="F407" s="5" t="s">
        <v>23</v>
      </c>
      <c r="G407" s="5" t="s">
        <v>24</v>
      </c>
      <c r="H407" s="5">
        <v>1387360</v>
      </c>
      <c r="I407">
        <v>728</v>
      </c>
      <c r="J407">
        <v>905426</v>
      </c>
      <c r="K407">
        <v>60</v>
      </c>
      <c r="L407">
        <v>13.31</v>
      </c>
      <c r="M407" t="s">
        <v>54</v>
      </c>
      <c r="N407" t="s">
        <v>38</v>
      </c>
      <c r="O407" t="s">
        <v>27</v>
      </c>
      <c r="P407">
        <v>17098.97</v>
      </c>
      <c r="Q407">
        <v>517022.06</v>
      </c>
      <c r="R407" t="s">
        <v>28</v>
      </c>
      <c r="S407" s="1">
        <v>45669</v>
      </c>
    </row>
    <row r="408" spans="1:19" x14ac:dyDescent="0.25">
      <c r="A408" s="5" t="s">
        <v>853</v>
      </c>
      <c r="B408" s="5" t="s">
        <v>854</v>
      </c>
      <c r="C408" s="5" t="s">
        <v>31</v>
      </c>
      <c r="D408" s="5">
        <v>42</v>
      </c>
      <c r="E408" s="5" t="s">
        <v>32</v>
      </c>
      <c r="F408" s="5" t="s">
        <v>23</v>
      </c>
      <c r="G408" s="5" t="s">
        <v>33</v>
      </c>
      <c r="H408" s="5">
        <v>1992767</v>
      </c>
      <c r="I408">
        <v>556</v>
      </c>
      <c r="J408">
        <v>675011</v>
      </c>
      <c r="K408">
        <v>84</v>
      </c>
      <c r="L408">
        <v>13.48</v>
      </c>
      <c r="M408" t="s">
        <v>25</v>
      </c>
      <c r="N408" t="s">
        <v>44</v>
      </c>
      <c r="O408" t="s">
        <v>39</v>
      </c>
      <c r="P408">
        <v>9119.08</v>
      </c>
      <c r="Q408">
        <v>539795.13</v>
      </c>
      <c r="R408" t="s">
        <v>28</v>
      </c>
      <c r="S408" s="1">
        <v>45720</v>
      </c>
    </row>
    <row r="409" spans="1:19" x14ac:dyDescent="0.25">
      <c r="A409" s="5" t="s">
        <v>855</v>
      </c>
      <c r="B409" s="5" t="s">
        <v>856</v>
      </c>
      <c r="C409" s="5" t="s">
        <v>21</v>
      </c>
      <c r="D409" s="5">
        <v>31</v>
      </c>
      <c r="E409" s="5" t="s">
        <v>32</v>
      </c>
      <c r="F409" s="5" t="s">
        <v>42</v>
      </c>
      <c r="G409" s="5" t="s">
        <v>33</v>
      </c>
      <c r="H409" s="5">
        <v>1084607</v>
      </c>
      <c r="I409">
        <v>723</v>
      </c>
      <c r="J409">
        <v>896279</v>
      </c>
      <c r="K409">
        <v>24</v>
      </c>
      <c r="L409">
        <v>9.84</v>
      </c>
      <c r="M409" t="s">
        <v>43</v>
      </c>
      <c r="N409" t="s">
        <v>34</v>
      </c>
      <c r="O409" t="s">
        <v>27</v>
      </c>
      <c r="P409">
        <v>41019.699999999997</v>
      </c>
      <c r="Q409">
        <v>616743.53</v>
      </c>
      <c r="R409" t="s">
        <v>28</v>
      </c>
      <c r="S409" s="1">
        <v>45486</v>
      </c>
    </row>
    <row r="410" spans="1:19" x14ac:dyDescent="0.25">
      <c r="A410" s="5" t="s">
        <v>857</v>
      </c>
      <c r="B410" s="5" t="s">
        <v>858</v>
      </c>
      <c r="C410" s="5" t="s">
        <v>31</v>
      </c>
      <c r="D410" s="5">
        <v>50</v>
      </c>
      <c r="E410" s="5" t="s">
        <v>32</v>
      </c>
      <c r="F410" s="5" t="s">
        <v>23</v>
      </c>
      <c r="G410" s="5" t="s">
        <v>33</v>
      </c>
      <c r="H410" s="5">
        <v>1434705</v>
      </c>
      <c r="I410">
        <v>614</v>
      </c>
      <c r="J410">
        <v>708553</v>
      </c>
      <c r="K410">
        <v>24</v>
      </c>
      <c r="L410">
        <v>12.74</v>
      </c>
      <c r="M410" t="s">
        <v>54</v>
      </c>
      <c r="N410" t="s">
        <v>51</v>
      </c>
      <c r="O410" t="s">
        <v>39</v>
      </c>
      <c r="P410">
        <v>33284.28</v>
      </c>
      <c r="Q410">
        <v>277112.21000000002</v>
      </c>
      <c r="R410" t="s">
        <v>28</v>
      </c>
      <c r="S410" s="1">
        <v>45788</v>
      </c>
    </row>
    <row r="411" spans="1:19" x14ac:dyDescent="0.25">
      <c r="A411" s="5" t="s">
        <v>859</v>
      </c>
      <c r="B411" s="5" t="s">
        <v>860</v>
      </c>
      <c r="C411" s="5" t="s">
        <v>31</v>
      </c>
      <c r="D411" s="5">
        <v>26</v>
      </c>
      <c r="E411" s="5" t="s">
        <v>22</v>
      </c>
      <c r="F411" s="5" t="s">
        <v>23</v>
      </c>
      <c r="G411" s="5" t="s">
        <v>33</v>
      </c>
      <c r="H411" s="5">
        <v>1770941</v>
      </c>
      <c r="I411">
        <v>832</v>
      </c>
      <c r="J411">
        <v>1896028</v>
      </c>
      <c r="K411">
        <v>36</v>
      </c>
      <c r="L411">
        <v>13.54</v>
      </c>
      <c r="M411" t="s">
        <v>57</v>
      </c>
      <c r="N411" t="s">
        <v>26</v>
      </c>
      <c r="O411" t="s">
        <v>27</v>
      </c>
      <c r="P411">
        <v>59798.62</v>
      </c>
      <c r="Q411">
        <v>636616.68999999994</v>
      </c>
      <c r="R411" t="s">
        <v>28</v>
      </c>
      <c r="S411" s="1">
        <v>45784</v>
      </c>
    </row>
    <row r="412" spans="1:19" x14ac:dyDescent="0.25">
      <c r="A412" s="5" t="s">
        <v>861</v>
      </c>
      <c r="B412" s="5" t="s">
        <v>862</v>
      </c>
      <c r="C412" s="5" t="s">
        <v>31</v>
      </c>
      <c r="D412" s="5">
        <v>54</v>
      </c>
      <c r="E412" s="5" t="s">
        <v>22</v>
      </c>
      <c r="F412" s="5" t="s">
        <v>42</v>
      </c>
      <c r="G412" s="5" t="s">
        <v>33</v>
      </c>
      <c r="H412" s="5">
        <v>477063</v>
      </c>
      <c r="I412">
        <v>743</v>
      </c>
      <c r="J412">
        <v>879707</v>
      </c>
      <c r="K412">
        <v>60</v>
      </c>
      <c r="L412">
        <v>9.5399999999999991</v>
      </c>
      <c r="M412" t="s">
        <v>25</v>
      </c>
      <c r="N412" t="s">
        <v>38</v>
      </c>
      <c r="O412" t="s">
        <v>27</v>
      </c>
      <c r="P412">
        <v>16060.52</v>
      </c>
      <c r="Q412">
        <v>327840.94</v>
      </c>
      <c r="R412" t="s">
        <v>28</v>
      </c>
      <c r="S412" s="1">
        <v>45641</v>
      </c>
    </row>
    <row r="413" spans="1:19" x14ac:dyDescent="0.25">
      <c r="A413" s="5" t="s">
        <v>863</v>
      </c>
      <c r="B413" s="5" t="s">
        <v>864</v>
      </c>
      <c r="C413" s="5" t="s">
        <v>21</v>
      </c>
      <c r="D413" s="5">
        <v>40</v>
      </c>
      <c r="E413" s="5" t="s">
        <v>22</v>
      </c>
      <c r="F413" s="5" t="s">
        <v>23</v>
      </c>
      <c r="G413" s="5" t="s">
        <v>33</v>
      </c>
      <c r="H413" s="5">
        <v>470098</v>
      </c>
      <c r="I413">
        <v>825</v>
      </c>
      <c r="J413">
        <v>1175714</v>
      </c>
      <c r="K413">
        <v>84</v>
      </c>
      <c r="L413">
        <v>9.64</v>
      </c>
      <c r="M413" t="s">
        <v>5</v>
      </c>
      <c r="N413" t="s">
        <v>104</v>
      </c>
      <c r="O413" t="s">
        <v>27</v>
      </c>
      <c r="P413">
        <v>15345.87</v>
      </c>
      <c r="Q413">
        <v>709879.87</v>
      </c>
      <c r="R413" t="s">
        <v>28</v>
      </c>
      <c r="S413" s="1">
        <v>45307</v>
      </c>
    </row>
    <row r="414" spans="1:19" x14ac:dyDescent="0.25">
      <c r="A414" s="5" t="s">
        <v>865</v>
      </c>
      <c r="B414" s="5" t="s">
        <v>866</v>
      </c>
      <c r="C414" s="5" t="s">
        <v>31</v>
      </c>
      <c r="D414" s="5">
        <v>36</v>
      </c>
      <c r="E414" s="5" t="s">
        <v>32</v>
      </c>
      <c r="F414" s="5" t="s">
        <v>23</v>
      </c>
      <c r="G414" s="5" t="s">
        <v>33</v>
      </c>
      <c r="H414" s="5">
        <v>338160</v>
      </c>
      <c r="I414">
        <v>825</v>
      </c>
      <c r="J414">
        <v>1806358</v>
      </c>
      <c r="K414">
        <v>48</v>
      </c>
      <c r="L414">
        <v>9.77</v>
      </c>
      <c r="M414" t="s">
        <v>5</v>
      </c>
      <c r="N414" t="s">
        <v>26</v>
      </c>
      <c r="O414" t="s">
        <v>39</v>
      </c>
      <c r="P414">
        <v>41309.15</v>
      </c>
      <c r="Q414">
        <v>999884.58</v>
      </c>
      <c r="R414" t="s">
        <v>28</v>
      </c>
      <c r="S414" s="1">
        <v>45520</v>
      </c>
    </row>
    <row r="415" spans="1:19" x14ac:dyDescent="0.25">
      <c r="A415" s="5" t="s">
        <v>867</v>
      </c>
      <c r="B415" s="5" t="s">
        <v>868</v>
      </c>
      <c r="C415" s="5" t="s">
        <v>21</v>
      </c>
      <c r="D415" s="5">
        <v>44</v>
      </c>
      <c r="E415" s="5" t="s">
        <v>32</v>
      </c>
      <c r="F415" s="5" t="s">
        <v>23</v>
      </c>
      <c r="G415" s="5" t="s">
        <v>24</v>
      </c>
      <c r="H415" s="5">
        <v>1489744</v>
      </c>
      <c r="I415">
        <v>779</v>
      </c>
      <c r="J415">
        <v>1317475</v>
      </c>
      <c r="K415">
        <v>120</v>
      </c>
      <c r="L415">
        <v>11.79</v>
      </c>
      <c r="M415" t="s">
        <v>43</v>
      </c>
      <c r="N415" t="s">
        <v>38</v>
      </c>
      <c r="O415" t="s">
        <v>27</v>
      </c>
      <c r="P415">
        <v>12273.38</v>
      </c>
      <c r="Q415">
        <v>435482.84</v>
      </c>
      <c r="R415" t="s">
        <v>28</v>
      </c>
      <c r="S415" s="1">
        <v>45735</v>
      </c>
    </row>
    <row r="416" spans="1:19" x14ac:dyDescent="0.25">
      <c r="A416" s="5" t="s">
        <v>869</v>
      </c>
      <c r="B416" s="5" t="s">
        <v>870</v>
      </c>
      <c r="C416" s="5" t="s">
        <v>31</v>
      </c>
      <c r="D416" s="5">
        <v>29</v>
      </c>
      <c r="E416" s="5" t="s">
        <v>22</v>
      </c>
      <c r="F416" s="5" t="s">
        <v>42</v>
      </c>
      <c r="G416" s="5" t="s">
        <v>24</v>
      </c>
      <c r="H416" s="5">
        <v>696504</v>
      </c>
      <c r="I416">
        <v>728</v>
      </c>
      <c r="J416">
        <v>1843021</v>
      </c>
      <c r="K416">
        <v>24</v>
      </c>
      <c r="L416">
        <v>8.99</v>
      </c>
      <c r="M416" t="s">
        <v>43</v>
      </c>
      <c r="N416" t="s">
        <v>51</v>
      </c>
      <c r="O416" t="s">
        <v>27</v>
      </c>
      <c r="P416">
        <v>83696.19</v>
      </c>
      <c r="Q416">
        <v>267074.57</v>
      </c>
      <c r="R416" t="s">
        <v>28</v>
      </c>
      <c r="S416" s="1">
        <v>45537</v>
      </c>
    </row>
    <row r="417" spans="1:19" x14ac:dyDescent="0.25">
      <c r="A417" s="5" t="s">
        <v>871</v>
      </c>
      <c r="B417" s="5" t="s">
        <v>872</v>
      </c>
      <c r="C417" s="5" t="s">
        <v>31</v>
      </c>
      <c r="D417" s="5">
        <v>25</v>
      </c>
      <c r="E417" s="5" t="s">
        <v>22</v>
      </c>
      <c r="F417" s="5" t="s">
        <v>42</v>
      </c>
      <c r="G417" s="5" t="s">
        <v>24</v>
      </c>
      <c r="H417" s="5">
        <v>801818</v>
      </c>
      <c r="I417">
        <v>826</v>
      </c>
      <c r="J417">
        <v>479154</v>
      </c>
      <c r="K417">
        <v>12</v>
      </c>
      <c r="L417">
        <v>14.42</v>
      </c>
      <c r="M417" t="s">
        <v>43</v>
      </c>
      <c r="N417" t="s">
        <v>51</v>
      </c>
      <c r="O417" t="s">
        <v>27</v>
      </c>
      <c r="P417">
        <v>45687.33</v>
      </c>
      <c r="Q417">
        <v>99463.18</v>
      </c>
      <c r="R417" t="s">
        <v>28</v>
      </c>
      <c r="S417" s="1">
        <v>45872</v>
      </c>
    </row>
    <row r="418" spans="1:19" x14ac:dyDescent="0.25">
      <c r="A418" s="5" t="s">
        <v>873</v>
      </c>
      <c r="B418" s="5" t="s">
        <v>874</v>
      </c>
      <c r="C418" s="5" t="s">
        <v>31</v>
      </c>
      <c r="D418" s="5">
        <v>29</v>
      </c>
      <c r="E418" s="5" t="s">
        <v>32</v>
      </c>
      <c r="F418" s="5" t="s">
        <v>42</v>
      </c>
      <c r="G418" s="5" t="s">
        <v>24</v>
      </c>
      <c r="H418" s="5">
        <v>1112028</v>
      </c>
      <c r="I418">
        <v>824</v>
      </c>
      <c r="J418">
        <v>1772365</v>
      </c>
      <c r="K418">
        <v>84</v>
      </c>
      <c r="L418">
        <v>14.9</v>
      </c>
      <c r="M418" t="s">
        <v>25</v>
      </c>
      <c r="N418" t="s">
        <v>44</v>
      </c>
      <c r="O418" t="s">
        <v>27</v>
      </c>
      <c r="P418">
        <v>24243.42</v>
      </c>
      <c r="Q418">
        <v>401609.53</v>
      </c>
      <c r="R418" t="s">
        <v>28</v>
      </c>
      <c r="S418" s="1">
        <v>45527</v>
      </c>
    </row>
    <row r="419" spans="1:19" x14ac:dyDescent="0.25">
      <c r="A419" s="5" t="s">
        <v>875</v>
      </c>
      <c r="B419" s="5" t="s">
        <v>876</v>
      </c>
      <c r="C419" s="5" t="s">
        <v>31</v>
      </c>
      <c r="D419" s="5">
        <v>59</v>
      </c>
      <c r="E419" s="5" t="s">
        <v>22</v>
      </c>
      <c r="F419" s="5" t="s">
        <v>23</v>
      </c>
      <c r="G419" s="5" t="s">
        <v>33</v>
      </c>
      <c r="H419" s="5">
        <v>896698</v>
      </c>
      <c r="I419">
        <v>669</v>
      </c>
      <c r="J419">
        <v>1929080</v>
      </c>
      <c r="K419">
        <v>240</v>
      </c>
      <c r="L419">
        <v>12.33</v>
      </c>
      <c r="M419" t="s">
        <v>57</v>
      </c>
      <c r="N419" t="s">
        <v>104</v>
      </c>
      <c r="O419" t="s">
        <v>27</v>
      </c>
      <c r="P419">
        <v>9028.9</v>
      </c>
      <c r="Q419">
        <v>1758871.14</v>
      </c>
      <c r="R419" t="s">
        <v>28</v>
      </c>
      <c r="S419" s="1">
        <v>45391</v>
      </c>
    </row>
    <row r="420" spans="1:19" x14ac:dyDescent="0.25">
      <c r="A420" s="5" t="s">
        <v>877</v>
      </c>
      <c r="B420" s="5" t="s">
        <v>878</v>
      </c>
      <c r="C420" s="5" t="s">
        <v>31</v>
      </c>
      <c r="D420" s="5">
        <v>54</v>
      </c>
      <c r="E420" s="5" t="s">
        <v>32</v>
      </c>
      <c r="F420" s="5" t="s">
        <v>42</v>
      </c>
      <c r="G420" s="5" t="s">
        <v>33</v>
      </c>
      <c r="H420" s="5">
        <v>1824862</v>
      </c>
      <c r="I420">
        <v>760</v>
      </c>
      <c r="J420">
        <v>491898</v>
      </c>
      <c r="K420">
        <v>60</v>
      </c>
      <c r="L420">
        <v>14.03</v>
      </c>
      <c r="M420" t="s">
        <v>43</v>
      </c>
      <c r="N420" t="s">
        <v>34</v>
      </c>
      <c r="O420" t="s">
        <v>27</v>
      </c>
      <c r="P420">
        <v>9348.52</v>
      </c>
      <c r="Q420">
        <v>325038.53000000003</v>
      </c>
      <c r="R420" t="s">
        <v>28</v>
      </c>
      <c r="S420" s="1">
        <v>45904</v>
      </c>
    </row>
    <row r="421" spans="1:19" x14ac:dyDescent="0.25">
      <c r="A421" s="5" t="s">
        <v>879</v>
      </c>
      <c r="B421" s="5" t="s">
        <v>880</v>
      </c>
      <c r="C421" s="5" t="s">
        <v>31</v>
      </c>
      <c r="D421" s="5">
        <v>40</v>
      </c>
      <c r="E421" s="5" t="s">
        <v>22</v>
      </c>
      <c r="F421" s="5" t="s">
        <v>42</v>
      </c>
      <c r="G421" s="5" t="s">
        <v>24</v>
      </c>
      <c r="H421" s="5">
        <v>1746237</v>
      </c>
      <c r="I421">
        <v>576</v>
      </c>
      <c r="J421">
        <v>797248</v>
      </c>
      <c r="K421">
        <v>12</v>
      </c>
      <c r="L421">
        <v>9.73</v>
      </c>
      <c r="M421" t="s">
        <v>25</v>
      </c>
      <c r="N421" t="s">
        <v>38</v>
      </c>
      <c r="O421" t="s">
        <v>27</v>
      </c>
      <c r="P421">
        <v>72901.69</v>
      </c>
      <c r="Q421">
        <v>128050.58</v>
      </c>
      <c r="R421" t="s">
        <v>28</v>
      </c>
      <c r="S421" s="1">
        <v>45354</v>
      </c>
    </row>
    <row r="422" spans="1:19" x14ac:dyDescent="0.25">
      <c r="A422" s="5" t="s">
        <v>881</v>
      </c>
      <c r="B422" s="5" t="s">
        <v>882</v>
      </c>
      <c r="C422" s="5" t="s">
        <v>31</v>
      </c>
      <c r="D422" s="5">
        <v>28</v>
      </c>
      <c r="E422" s="5" t="s">
        <v>32</v>
      </c>
      <c r="F422" s="5" t="s">
        <v>42</v>
      </c>
      <c r="G422" s="5" t="s">
        <v>24</v>
      </c>
      <c r="H422" s="5">
        <v>1519423</v>
      </c>
      <c r="I422">
        <v>729</v>
      </c>
      <c r="J422">
        <v>1134784</v>
      </c>
      <c r="K422">
        <v>84</v>
      </c>
      <c r="L422">
        <v>11.23</v>
      </c>
      <c r="M422" t="s">
        <v>57</v>
      </c>
      <c r="N422" t="s">
        <v>104</v>
      </c>
      <c r="O422" t="s">
        <v>27</v>
      </c>
      <c r="P422">
        <v>15026.43</v>
      </c>
      <c r="Q422">
        <v>830972.95</v>
      </c>
      <c r="R422" t="s">
        <v>28</v>
      </c>
      <c r="S422" s="1">
        <v>45728</v>
      </c>
    </row>
    <row r="423" spans="1:19" x14ac:dyDescent="0.25">
      <c r="A423" s="5" t="s">
        <v>883</v>
      </c>
      <c r="B423" s="5" t="s">
        <v>884</v>
      </c>
      <c r="C423" s="5" t="s">
        <v>31</v>
      </c>
      <c r="D423" s="5">
        <v>54</v>
      </c>
      <c r="E423" s="5" t="s">
        <v>22</v>
      </c>
      <c r="F423" s="5" t="s">
        <v>23</v>
      </c>
      <c r="G423" s="5" t="s">
        <v>33</v>
      </c>
      <c r="H423" s="5">
        <v>897386</v>
      </c>
      <c r="I423">
        <v>844</v>
      </c>
      <c r="J423">
        <v>1684138</v>
      </c>
      <c r="K423">
        <v>24</v>
      </c>
      <c r="L423">
        <v>12.16</v>
      </c>
      <c r="M423" t="s">
        <v>57</v>
      </c>
      <c r="N423" t="s">
        <v>51</v>
      </c>
      <c r="O423" t="s">
        <v>27</v>
      </c>
      <c r="P423">
        <v>78705.38</v>
      </c>
      <c r="Q423">
        <v>537914.26</v>
      </c>
      <c r="R423" t="s">
        <v>28</v>
      </c>
      <c r="S423" s="1">
        <v>45939</v>
      </c>
    </row>
    <row r="424" spans="1:19" x14ac:dyDescent="0.25">
      <c r="A424" s="5" t="s">
        <v>885</v>
      </c>
      <c r="B424" s="5" t="s">
        <v>886</v>
      </c>
      <c r="C424" s="5" t="s">
        <v>31</v>
      </c>
      <c r="D424" s="5">
        <v>30</v>
      </c>
      <c r="E424" s="5" t="s">
        <v>22</v>
      </c>
      <c r="F424" s="5" t="s">
        <v>23</v>
      </c>
      <c r="G424" s="5" t="s">
        <v>24</v>
      </c>
      <c r="H424" s="5">
        <v>1378148</v>
      </c>
      <c r="I424">
        <v>694</v>
      </c>
      <c r="J424">
        <v>1226884</v>
      </c>
      <c r="K424">
        <v>180</v>
      </c>
      <c r="L424">
        <v>9.91</v>
      </c>
      <c r="M424" t="s">
        <v>57</v>
      </c>
      <c r="N424" t="s">
        <v>38</v>
      </c>
      <c r="O424" t="s">
        <v>27</v>
      </c>
      <c r="P424">
        <v>7491.49</v>
      </c>
      <c r="Q424">
        <v>617714.06999999995</v>
      </c>
      <c r="R424" t="s">
        <v>28</v>
      </c>
      <c r="S424" s="1">
        <v>45532</v>
      </c>
    </row>
    <row r="425" spans="1:19" x14ac:dyDescent="0.25">
      <c r="A425" s="5" t="s">
        <v>887</v>
      </c>
      <c r="B425" s="5" t="s">
        <v>888</v>
      </c>
      <c r="C425" s="5" t="s">
        <v>31</v>
      </c>
      <c r="D425" s="5">
        <v>54</v>
      </c>
      <c r="E425" s="5" t="s">
        <v>32</v>
      </c>
      <c r="F425" s="5" t="s">
        <v>42</v>
      </c>
      <c r="G425" s="5" t="s">
        <v>24</v>
      </c>
      <c r="H425" s="5">
        <v>613289</v>
      </c>
      <c r="I425">
        <v>759</v>
      </c>
      <c r="J425">
        <v>874878</v>
      </c>
      <c r="K425">
        <v>120</v>
      </c>
      <c r="L425">
        <v>13.76</v>
      </c>
      <c r="M425" t="s">
        <v>5</v>
      </c>
      <c r="N425" t="s">
        <v>44</v>
      </c>
      <c r="O425" t="s">
        <v>27</v>
      </c>
      <c r="P425">
        <v>8293.84</v>
      </c>
      <c r="Q425">
        <v>262635.52000000002</v>
      </c>
      <c r="R425" t="s">
        <v>28</v>
      </c>
      <c r="S425" s="1">
        <v>45823</v>
      </c>
    </row>
    <row r="426" spans="1:19" x14ac:dyDescent="0.25">
      <c r="A426" s="5" t="s">
        <v>889</v>
      </c>
      <c r="B426" s="5" t="s">
        <v>890</v>
      </c>
      <c r="C426" s="5" t="s">
        <v>21</v>
      </c>
      <c r="D426" s="5">
        <v>47</v>
      </c>
      <c r="E426" s="5" t="s">
        <v>32</v>
      </c>
      <c r="F426" s="5" t="s">
        <v>23</v>
      </c>
      <c r="G426" s="5" t="s">
        <v>33</v>
      </c>
      <c r="H426" s="5">
        <v>1563881</v>
      </c>
      <c r="I426">
        <v>596</v>
      </c>
      <c r="J426">
        <v>227669</v>
      </c>
      <c r="K426">
        <v>84</v>
      </c>
      <c r="L426">
        <v>11.35</v>
      </c>
      <c r="M426" t="s">
        <v>25</v>
      </c>
      <c r="N426" t="s">
        <v>44</v>
      </c>
      <c r="O426" t="s">
        <v>27</v>
      </c>
      <c r="P426">
        <v>3017.97</v>
      </c>
      <c r="Q426">
        <v>181466.95</v>
      </c>
      <c r="R426" t="s">
        <v>35</v>
      </c>
      <c r="S426" s="1">
        <v>45474</v>
      </c>
    </row>
    <row r="427" spans="1:19" x14ac:dyDescent="0.25">
      <c r="A427" s="5" t="s">
        <v>891</v>
      </c>
      <c r="B427" s="5" t="s">
        <v>892</v>
      </c>
      <c r="C427" s="5" t="s">
        <v>21</v>
      </c>
      <c r="D427" s="5">
        <v>48</v>
      </c>
      <c r="E427" s="5" t="s">
        <v>32</v>
      </c>
      <c r="F427" s="5" t="s">
        <v>23</v>
      </c>
      <c r="G427" s="5" t="s">
        <v>33</v>
      </c>
      <c r="H427" s="5">
        <v>837161</v>
      </c>
      <c r="I427">
        <v>662</v>
      </c>
      <c r="J427">
        <v>733396</v>
      </c>
      <c r="K427">
        <v>84</v>
      </c>
      <c r="L427">
        <v>12.3</v>
      </c>
      <c r="M427" t="s">
        <v>57</v>
      </c>
      <c r="N427" t="s">
        <v>38</v>
      </c>
      <c r="O427" t="s">
        <v>27</v>
      </c>
      <c r="P427">
        <v>9804.81</v>
      </c>
      <c r="Q427">
        <v>730805.75</v>
      </c>
      <c r="R427" t="s">
        <v>28</v>
      </c>
      <c r="S427" s="1">
        <v>45850</v>
      </c>
    </row>
    <row r="428" spans="1:19" x14ac:dyDescent="0.25">
      <c r="A428" s="5" t="s">
        <v>893</v>
      </c>
      <c r="B428" s="5" t="s">
        <v>894</v>
      </c>
      <c r="C428" s="5" t="s">
        <v>31</v>
      </c>
      <c r="D428" s="5">
        <v>53</v>
      </c>
      <c r="E428" s="5" t="s">
        <v>22</v>
      </c>
      <c r="F428" s="5" t="s">
        <v>23</v>
      </c>
      <c r="G428" s="5" t="s">
        <v>24</v>
      </c>
      <c r="H428" s="5">
        <v>500585</v>
      </c>
      <c r="I428">
        <v>783</v>
      </c>
      <c r="J428">
        <v>139747</v>
      </c>
      <c r="K428">
        <v>120</v>
      </c>
      <c r="L428">
        <v>11.87</v>
      </c>
      <c r="M428" t="s">
        <v>5</v>
      </c>
      <c r="N428" t="s">
        <v>38</v>
      </c>
      <c r="O428" t="s">
        <v>27</v>
      </c>
      <c r="P428">
        <v>1302.79</v>
      </c>
      <c r="Q428">
        <v>42616.18</v>
      </c>
      <c r="R428" t="s">
        <v>28</v>
      </c>
      <c r="S428" s="1">
        <v>45696</v>
      </c>
    </row>
    <row r="429" spans="1:19" x14ac:dyDescent="0.25">
      <c r="A429" s="5" t="s">
        <v>895</v>
      </c>
      <c r="B429" s="5" t="s">
        <v>896</v>
      </c>
      <c r="C429" s="5" t="s">
        <v>31</v>
      </c>
      <c r="D429" s="5">
        <v>32</v>
      </c>
      <c r="E429" s="5" t="s">
        <v>22</v>
      </c>
      <c r="F429" s="5" t="s">
        <v>23</v>
      </c>
      <c r="G429" s="5" t="s">
        <v>33</v>
      </c>
      <c r="H429" s="5">
        <v>906874</v>
      </c>
      <c r="I429">
        <v>684</v>
      </c>
      <c r="J429">
        <v>1751484</v>
      </c>
      <c r="K429">
        <v>36</v>
      </c>
      <c r="L429">
        <v>8.65</v>
      </c>
      <c r="M429" t="s">
        <v>57</v>
      </c>
      <c r="N429" t="s">
        <v>34</v>
      </c>
      <c r="O429" t="s">
        <v>27</v>
      </c>
      <c r="P429">
        <v>52860.76</v>
      </c>
      <c r="Q429">
        <v>632621.23</v>
      </c>
      <c r="R429" t="s">
        <v>28</v>
      </c>
      <c r="S429" s="1">
        <v>45695</v>
      </c>
    </row>
    <row r="430" spans="1:19" x14ac:dyDescent="0.25">
      <c r="A430" s="5" t="s">
        <v>897</v>
      </c>
      <c r="B430" s="5" t="s">
        <v>898</v>
      </c>
      <c r="C430" s="5" t="s">
        <v>31</v>
      </c>
      <c r="D430" s="5">
        <v>49</v>
      </c>
      <c r="E430" s="5" t="s">
        <v>22</v>
      </c>
      <c r="F430" s="5" t="s">
        <v>42</v>
      </c>
      <c r="G430" s="5" t="s">
        <v>33</v>
      </c>
      <c r="H430" s="5">
        <v>525334</v>
      </c>
      <c r="I430">
        <v>699</v>
      </c>
      <c r="J430">
        <v>170858</v>
      </c>
      <c r="K430">
        <v>48</v>
      </c>
      <c r="L430">
        <v>14.38</v>
      </c>
      <c r="M430" t="s">
        <v>43</v>
      </c>
      <c r="N430" t="s">
        <v>26</v>
      </c>
      <c r="O430" t="s">
        <v>27</v>
      </c>
      <c r="P430">
        <v>4071.4</v>
      </c>
      <c r="Q430">
        <v>115601.54</v>
      </c>
      <c r="R430" t="s">
        <v>28</v>
      </c>
      <c r="S430" s="1">
        <v>46017</v>
      </c>
    </row>
    <row r="431" spans="1:19" x14ac:dyDescent="0.25">
      <c r="A431" s="5" t="s">
        <v>899</v>
      </c>
      <c r="B431" s="5" t="s">
        <v>900</v>
      </c>
      <c r="C431" s="5" t="s">
        <v>31</v>
      </c>
      <c r="D431" s="5">
        <v>21</v>
      </c>
      <c r="E431" s="5" t="s">
        <v>22</v>
      </c>
      <c r="F431" s="5" t="s">
        <v>42</v>
      </c>
      <c r="G431" s="5" t="s">
        <v>24</v>
      </c>
      <c r="H431" s="5">
        <v>1221937</v>
      </c>
      <c r="I431">
        <v>615</v>
      </c>
      <c r="J431">
        <v>1605550</v>
      </c>
      <c r="K431">
        <v>24</v>
      </c>
      <c r="L431">
        <v>10.75</v>
      </c>
      <c r="M431" t="s">
        <v>54</v>
      </c>
      <c r="N431" t="s">
        <v>44</v>
      </c>
      <c r="O431" t="s">
        <v>39</v>
      </c>
      <c r="P431">
        <v>74089.440000000002</v>
      </c>
      <c r="Q431">
        <v>713713.21</v>
      </c>
      <c r="R431" t="s">
        <v>28</v>
      </c>
      <c r="S431" s="1">
        <v>45689</v>
      </c>
    </row>
    <row r="432" spans="1:19" x14ac:dyDescent="0.25">
      <c r="A432" s="5" t="s">
        <v>901</v>
      </c>
      <c r="B432" s="5" t="s">
        <v>902</v>
      </c>
      <c r="C432" s="5" t="s">
        <v>21</v>
      </c>
      <c r="D432" s="5">
        <v>53</v>
      </c>
      <c r="E432" s="5" t="s">
        <v>32</v>
      </c>
      <c r="F432" s="5" t="s">
        <v>23</v>
      </c>
      <c r="G432" s="5" t="s">
        <v>33</v>
      </c>
      <c r="H432" s="5">
        <v>1334780</v>
      </c>
      <c r="I432">
        <v>678</v>
      </c>
      <c r="J432">
        <v>228735</v>
      </c>
      <c r="K432">
        <v>36</v>
      </c>
      <c r="L432">
        <v>14.06</v>
      </c>
      <c r="M432" t="s">
        <v>57</v>
      </c>
      <c r="N432" t="s">
        <v>104</v>
      </c>
      <c r="O432" t="s">
        <v>27</v>
      </c>
      <c r="P432">
        <v>7247.09</v>
      </c>
      <c r="Q432">
        <v>210790.59</v>
      </c>
      <c r="R432" t="s">
        <v>28</v>
      </c>
      <c r="S432" s="1">
        <v>45776</v>
      </c>
    </row>
    <row r="433" spans="1:19" x14ac:dyDescent="0.25">
      <c r="A433" s="5" t="s">
        <v>903</v>
      </c>
      <c r="B433" s="5" t="s">
        <v>904</v>
      </c>
      <c r="C433" s="5" t="s">
        <v>31</v>
      </c>
      <c r="D433" s="5">
        <v>26</v>
      </c>
      <c r="E433" s="5" t="s">
        <v>22</v>
      </c>
      <c r="F433" s="5" t="s">
        <v>42</v>
      </c>
      <c r="G433" s="5" t="s">
        <v>33</v>
      </c>
      <c r="H433" s="5">
        <v>968667</v>
      </c>
      <c r="I433">
        <v>842</v>
      </c>
      <c r="J433">
        <v>1040906</v>
      </c>
      <c r="K433">
        <v>36</v>
      </c>
      <c r="L433">
        <v>9.0500000000000007</v>
      </c>
      <c r="M433" t="s">
        <v>54</v>
      </c>
      <c r="N433" t="s">
        <v>34</v>
      </c>
      <c r="O433" t="s">
        <v>27</v>
      </c>
      <c r="P433">
        <v>31530.78</v>
      </c>
      <c r="Q433">
        <v>186227.83</v>
      </c>
      <c r="R433" t="s">
        <v>28</v>
      </c>
      <c r="S433" s="1">
        <v>45806</v>
      </c>
    </row>
    <row r="434" spans="1:19" x14ac:dyDescent="0.25">
      <c r="A434" s="5" t="s">
        <v>905</v>
      </c>
      <c r="B434" s="5" t="s">
        <v>906</v>
      </c>
      <c r="C434" s="5" t="s">
        <v>31</v>
      </c>
      <c r="D434" s="5">
        <v>39</v>
      </c>
      <c r="E434" s="5" t="s">
        <v>32</v>
      </c>
      <c r="F434" s="5" t="s">
        <v>23</v>
      </c>
      <c r="G434" s="5" t="s">
        <v>33</v>
      </c>
      <c r="H434" s="5">
        <v>1435934</v>
      </c>
      <c r="I434">
        <v>650</v>
      </c>
      <c r="J434">
        <v>655812</v>
      </c>
      <c r="K434">
        <v>24</v>
      </c>
      <c r="L434">
        <v>8.73</v>
      </c>
      <c r="M434" t="s">
        <v>54</v>
      </c>
      <c r="N434" t="s">
        <v>44</v>
      </c>
      <c r="O434" t="s">
        <v>39</v>
      </c>
      <c r="P434">
        <v>29711.02</v>
      </c>
      <c r="Q434">
        <v>188300.11</v>
      </c>
      <c r="R434" t="s">
        <v>28</v>
      </c>
      <c r="S434" s="1">
        <v>45732</v>
      </c>
    </row>
    <row r="435" spans="1:19" x14ac:dyDescent="0.25">
      <c r="A435" s="5" t="s">
        <v>907</v>
      </c>
      <c r="B435" s="5" t="s">
        <v>908</v>
      </c>
      <c r="C435" s="5" t="s">
        <v>21</v>
      </c>
      <c r="D435" s="5">
        <v>59</v>
      </c>
      <c r="E435" s="5" t="s">
        <v>32</v>
      </c>
      <c r="F435" s="5" t="s">
        <v>23</v>
      </c>
      <c r="G435" s="5" t="s">
        <v>24</v>
      </c>
      <c r="H435" s="5">
        <v>447091</v>
      </c>
      <c r="I435">
        <v>644</v>
      </c>
      <c r="J435">
        <v>1360313</v>
      </c>
      <c r="K435">
        <v>84</v>
      </c>
      <c r="L435">
        <v>9.8800000000000008</v>
      </c>
      <c r="M435" t="s">
        <v>5</v>
      </c>
      <c r="N435" t="s">
        <v>51</v>
      </c>
      <c r="O435" t="s">
        <v>27</v>
      </c>
      <c r="P435">
        <v>17794.189999999999</v>
      </c>
      <c r="Q435">
        <v>562705.43999999994</v>
      </c>
      <c r="R435" t="s">
        <v>28</v>
      </c>
      <c r="S435" s="1">
        <v>45936</v>
      </c>
    </row>
    <row r="436" spans="1:19" x14ac:dyDescent="0.25">
      <c r="A436" s="5" t="s">
        <v>909</v>
      </c>
      <c r="B436" s="5" t="s">
        <v>910</v>
      </c>
      <c r="C436" s="5" t="s">
        <v>21</v>
      </c>
      <c r="D436" s="5">
        <v>46</v>
      </c>
      <c r="E436" s="5" t="s">
        <v>22</v>
      </c>
      <c r="F436" s="5" t="s">
        <v>42</v>
      </c>
      <c r="G436" s="5" t="s">
        <v>24</v>
      </c>
      <c r="H436" s="5">
        <v>717699</v>
      </c>
      <c r="I436">
        <v>556</v>
      </c>
      <c r="J436">
        <v>949007</v>
      </c>
      <c r="K436">
        <v>12</v>
      </c>
      <c r="L436">
        <v>14.77</v>
      </c>
      <c r="M436" t="s">
        <v>43</v>
      </c>
      <c r="N436" t="s">
        <v>26</v>
      </c>
      <c r="O436" t="s">
        <v>27</v>
      </c>
      <c r="P436">
        <v>90764.61</v>
      </c>
      <c r="Q436">
        <v>921194.11</v>
      </c>
      <c r="R436" t="s">
        <v>28</v>
      </c>
      <c r="S436" s="1">
        <v>45975</v>
      </c>
    </row>
    <row r="437" spans="1:19" x14ac:dyDescent="0.25">
      <c r="A437" s="5" t="s">
        <v>911</v>
      </c>
      <c r="B437" s="5" t="s">
        <v>912</v>
      </c>
      <c r="C437" s="5" t="s">
        <v>21</v>
      </c>
      <c r="D437" s="5">
        <v>41</v>
      </c>
      <c r="E437" s="5" t="s">
        <v>32</v>
      </c>
      <c r="F437" s="5" t="s">
        <v>42</v>
      </c>
      <c r="G437" s="5" t="s">
        <v>24</v>
      </c>
      <c r="H437" s="5">
        <v>1861340</v>
      </c>
      <c r="I437">
        <v>719</v>
      </c>
      <c r="J437">
        <v>1104360</v>
      </c>
      <c r="K437">
        <v>120</v>
      </c>
      <c r="L437">
        <v>8.6999999999999993</v>
      </c>
      <c r="M437" t="s">
        <v>43</v>
      </c>
      <c r="N437" t="s">
        <v>51</v>
      </c>
      <c r="O437" t="s">
        <v>27</v>
      </c>
      <c r="P437">
        <v>10003.66</v>
      </c>
      <c r="Q437">
        <v>859023.48</v>
      </c>
      <c r="R437" t="s">
        <v>28</v>
      </c>
      <c r="S437" s="1">
        <v>45792</v>
      </c>
    </row>
    <row r="438" spans="1:19" x14ac:dyDescent="0.25">
      <c r="A438" s="5" t="s">
        <v>913</v>
      </c>
      <c r="B438" s="5" t="s">
        <v>914</v>
      </c>
      <c r="C438" s="5" t="s">
        <v>31</v>
      </c>
      <c r="D438" s="5">
        <v>52</v>
      </c>
      <c r="E438" s="5" t="s">
        <v>32</v>
      </c>
      <c r="F438" s="5" t="s">
        <v>23</v>
      </c>
      <c r="G438" s="5" t="s">
        <v>24</v>
      </c>
      <c r="H438" s="5">
        <v>871432</v>
      </c>
      <c r="I438">
        <v>583</v>
      </c>
      <c r="J438">
        <v>1337468</v>
      </c>
      <c r="K438">
        <v>48</v>
      </c>
      <c r="L438">
        <v>12.9</v>
      </c>
      <c r="M438" t="s">
        <v>5</v>
      </c>
      <c r="N438" t="s">
        <v>26</v>
      </c>
      <c r="O438" t="s">
        <v>27</v>
      </c>
      <c r="P438">
        <v>31458.36</v>
      </c>
      <c r="Q438">
        <v>778792.23</v>
      </c>
      <c r="R438" t="s">
        <v>35</v>
      </c>
      <c r="S438" s="1">
        <v>45866</v>
      </c>
    </row>
    <row r="439" spans="1:19" x14ac:dyDescent="0.25">
      <c r="A439" s="5" t="s">
        <v>915</v>
      </c>
      <c r="B439" s="5" t="s">
        <v>916</v>
      </c>
      <c r="C439" s="5" t="s">
        <v>21</v>
      </c>
      <c r="D439" s="5">
        <v>59</v>
      </c>
      <c r="E439" s="5" t="s">
        <v>22</v>
      </c>
      <c r="F439" s="5" t="s">
        <v>42</v>
      </c>
      <c r="G439" s="5" t="s">
        <v>33</v>
      </c>
      <c r="H439" s="5">
        <v>1510827</v>
      </c>
      <c r="I439">
        <v>806</v>
      </c>
      <c r="J439">
        <v>1082422</v>
      </c>
      <c r="K439">
        <v>84</v>
      </c>
      <c r="L439">
        <v>8.7100000000000009</v>
      </c>
      <c r="M439" t="s">
        <v>25</v>
      </c>
      <c r="N439" t="s">
        <v>104</v>
      </c>
      <c r="O439" t="s">
        <v>27</v>
      </c>
      <c r="P439">
        <v>14008.34</v>
      </c>
      <c r="Q439">
        <v>568262.43000000005</v>
      </c>
      <c r="R439" t="s">
        <v>28</v>
      </c>
      <c r="S439" s="1">
        <v>45471</v>
      </c>
    </row>
    <row r="440" spans="1:19" x14ac:dyDescent="0.25">
      <c r="A440" s="5" t="s">
        <v>917</v>
      </c>
      <c r="B440" s="5" t="s">
        <v>918</v>
      </c>
      <c r="C440" s="5" t="s">
        <v>31</v>
      </c>
      <c r="D440" s="5">
        <v>41</v>
      </c>
      <c r="E440" s="5" t="s">
        <v>32</v>
      </c>
      <c r="F440" s="5" t="s">
        <v>23</v>
      </c>
      <c r="G440" s="5" t="s">
        <v>24</v>
      </c>
      <c r="H440" s="5">
        <v>1216517</v>
      </c>
      <c r="I440">
        <v>819</v>
      </c>
      <c r="J440">
        <v>1754236</v>
      </c>
      <c r="K440">
        <v>48</v>
      </c>
      <c r="L440">
        <v>11.18</v>
      </c>
      <c r="M440" t="s">
        <v>25</v>
      </c>
      <c r="N440" t="s">
        <v>38</v>
      </c>
      <c r="O440" t="s">
        <v>27</v>
      </c>
      <c r="P440">
        <v>40632.49</v>
      </c>
      <c r="Q440">
        <v>1225531.3899999999</v>
      </c>
      <c r="R440" t="s">
        <v>28</v>
      </c>
      <c r="S440" s="1">
        <v>45942</v>
      </c>
    </row>
    <row r="441" spans="1:19" x14ac:dyDescent="0.25">
      <c r="A441" s="5" t="s">
        <v>919</v>
      </c>
      <c r="B441" s="5" t="s">
        <v>920</v>
      </c>
      <c r="C441" s="5" t="s">
        <v>21</v>
      </c>
      <c r="D441" s="5">
        <v>46</v>
      </c>
      <c r="E441" s="5" t="s">
        <v>22</v>
      </c>
      <c r="F441" s="5" t="s">
        <v>23</v>
      </c>
      <c r="G441" s="5" t="s">
        <v>33</v>
      </c>
      <c r="H441" s="5">
        <v>646677</v>
      </c>
      <c r="I441">
        <v>587</v>
      </c>
      <c r="J441">
        <v>1101630</v>
      </c>
      <c r="K441">
        <v>240</v>
      </c>
      <c r="L441">
        <v>12.08</v>
      </c>
      <c r="M441" t="s">
        <v>54</v>
      </c>
      <c r="N441" t="s">
        <v>38</v>
      </c>
      <c r="O441" t="s">
        <v>27</v>
      </c>
      <c r="P441">
        <v>5144.6099999999997</v>
      </c>
      <c r="Q441">
        <v>532966.26</v>
      </c>
      <c r="R441" t="s">
        <v>35</v>
      </c>
      <c r="S441" s="1">
        <v>45387</v>
      </c>
    </row>
    <row r="442" spans="1:19" x14ac:dyDescent="0.25">
      <c r="A442" s="5" t="s">
        <v>921</v>
      </c>
      <c r="B442" s="5" t="s">
        <v>922</v>
      </c>
      <c r="C442" s="5" t="s">
        <v>31</v>
      </c>
      <c r="D442" s="5">
        <v>25</v>
      </c>
      <c r="E442" s="5" t="s">
        <v>22</v>
      </c>
      <c r="F442" s="5" t="s">
        <v>42</v>
      </c>
      <c r="G442" s="5" t="s">
        <v>33</v>
      </c>
      <c r="H442" s="5">
        <v>978027</v>
      </c>
      <c r="I442">
        <v>574</v>
      </c>
      <c r="J442">
        <v>1084606</v>
      </c>
      <c r="K442">
        <v>240</v>
      </c>
      <c r="L442">
        <v>11.98</v>
      </c>
      <c r="M442" t="s">
        <v>57</v>
      </c>
      <c r="N442" t="s">
        <v>104</v>
      </c>
      <c r="O442" t="s">
        <v>27</v>
      </c>
      <c r="P442">
        <v>5060.59</v>
      </c>
      <c r="Q442">
        <v>459422.87</v>
      </c>
      <c r="R442" t="s">
        <v>35</v>
      </c>
      <c r="S442" s="1">
        <v>45342</v>
      </c>
    </row>
    <row r="443" spans="1:19" x14ac:dyDescent="0.25">
      <c r="A443" s="5" t="s">
        <v>923</v>
      </c>
      <c r="B443" s="5" t="s">
        <v>924</v>
      </c>
      <c r="C443" s="5" t="s">
        <v>31</v>
      </c>
      <c r="D443" s="5">
        <v>49</v>
      </c>
      <c r="E443" s="5" t="s">
        <v>22</v>
      </c>
      <c r="F443" s="5" t="s">
        <v>23</v>
      </c>
      <c r="G443" s="5" t="s">
        <v>24</v>
      </c>
      <c r="H443" s="5">
        <v>1246301</v>
      </c>
      <c r="I443">
        <v>648</v>
      </c>
      <c r="J443">
        <v>1139809</v>
      </c>
      <c r="K443">
        <v>180</v>
      </c>
      <c r="L443">
        <v>13.01</v>
      </c>
      <c r="M443" t="s">
        <v>57</v>
      </c>
      <c r="N443" t="s">
        <v>34</v>
      </c>
      <c r="O443" t="s">
        <v>39</v>
      </c>
      <c r="P443">
        <v>7156.1</v>
      </c>
      <c r="Q443">
        <v>973392.88</v>
      </c>
      <c r="R443" t="s">
        <v>28</v>
      </c>
      <c r="S443" s="1">
        <v>45712</v>
      </c>
    </row>
    <row r="444" spans="1:19" x14ac:dyDescent="0.25">
      <c r="A444" s="5" t="s">
        <v>925</v>
      </c>
      <c r="B444" s="5" t="s">
        <v>926</v>
      </c>
      <c r="C444" s="5" t="s">
        <v>31</v>
      </c>
      <c r="D444" s="5">
        <v>55</v>
      </c>
      <c r="E444" s="5" t="s">
        <v>22</v>
      </c>
      <c r="F444" s="5" t="s">
        <v>23</v>
      </c>
      <c r="G444" s="5" t="s">
        <v>24</v>
      </c>
      <c r="H444" s="5">
        <v>333605</v>
      </c>
      <c r="I444">
        <v>765</v>
      </c>
      <c r="J444">
        <v>1994197</v>
      </c>
      <c r="K444">
        <v>60</v>
      </c>
      <c r="L444">
        <v>8.31</v>
      </c>
      <c r="M444" t="s">
        <v>25</v>
      </c>
      <c r="N444" t="s">
        <v>51</v>
      </c>
      <c r="O444" t="s">
        <v>39</v>
      </c>
      <c r="P444">
        <v>35998.58</v>
      </c>
      <c r="Q444">
        <v>1780389.63</v>
      </c>
      <c r="R444" t="s">
        <v>28</v>
      </c>
      <c r="S444" s="1">
        <v>45676</v>
      </c>
    </row>
    <row r="445" spans="1:19" x14ac:dyDescent="0.25">
      <c r="A445" s="5" t="s">
        <v>927</v>
      </c>
      <c r="B445" s="5" t="s">
        <v>928</v>
      </c>
      <c r="C445" s="5" t="s">
        <v>31</v>
      </c>
      <c r="D445" s="5">
        <v>49</v>
      </c>
      <c r="E445" s="5" t="s">
        <v>22</v>
      </c>
      <c r="F445" s="5" t="s">
        <v>42</v>
      </c>
      <c r="G445" s="5" t="s">
        <v>24</v>
      </c>
      <c r="H445" s="5">
        <v>636517</v>
      </c>
      <c r="I445">
        <v>752</v>
      </c>
      <c r="J445">
        <v>795108</v>
      </c>
      <c r="K445">
        <v>36</v>
      </c>
      <c r="L445">
        <v>9.5</v>
      </c>
      <c r="M445" t="s">
        <v>57</v>
      </c>
      <c r="N445" t="s">
        <v>38</v>
      </c>
      <c r="O445" t="s">
        <v>27</v>
      </c>
      <c r="P445">
        <v>24184.53</v>
      </c>
      <c r="Q445">
        <v>552079.05000000005</v>
      </c>
      <c r="R445" t="s">
        <v>28</v>
      </c>
      <c r="S445" s="1">
        <v>45970</v>
      </c>
    </row>
    <row r="446" spans="1:19" x14ac:dyDescent="0.25">
      <c r="A446" s="5" t="s">
        <v>929</v>
      </c>
      <c r="B446" s="5" t="s">
        <v>930</v>
      </c>
      <c r="C446" s="5" t="s">
        <v>31</v>
      </c>
      <c r="D446" s="5">
        <v>22</v>
      </c>
      <c r="E446" s="5" t="s">
        <v>32</v>
      </c>
      <c r="F446" s="5" t="s">
        <v>23</v>
      </c>
      <c r="G446" s="5" t="s">
        <v>24</v>
      </c>
      <c r="H446" s="5">
        <v>1217077</v>
      </c>
      <c r="I446">
        <v>641</v>
      </c>
      <c r="J446">
        <v>1967886</v>
      </c>
      <c r="K446">
        <v>48</v>
      </c>
      <c r="L446">
        <v>15.21</v>
      </c>
      <c r="M446" t="s">
        <v>54</v>
      </c>
      <c r="N446" t="s">
        <v>26</v>
      </c>
      <c r="O446" t="s">
        <v>39</v>
      </c>
      <c r="P446">
        <v>47233.36</v>
      </c>
      <c r="Q446">
        <v>997945.57</v>
      </c>
      <c r="R446" t="s">
        <v>28</v>
      </c>
      <c r="S446" s="1">
        <v>45318</v>
      </c>
    </row>
    <row r="447" spans="1:19" x14ac:dyDescent="0.25">
      <c r="A447" s="5" t="s">
        <v>931</v>
      </c>
      <c r="B447" s="5" t="s">
        <v>932</v>
      </c>
      <c r="C447" s="5" t="s">
        <v>21</v>
      </c>
      <c r="D447" s="5">
        <v>52</v>
      </c>
      <c r="E447" s="5" t="s">
        <v>22</v>
      </c>
      <c r="F447" s="5" t="s">
        <v>23</v>
      </c>
      <c r="G447" s="5" t="s">
        <v>24</v>
      </c>
      <c r="H447" s="5">
        <v>1490481</v>
      </c>
      <c r="I447">
        <v>634</v>
      </c>
      <c r="J447">
        <v>940901</v>
      </c>
      <c r="K447">
        <v>180</v>
      </c>
      <c r="L447">
        <v>15.03</v>
      </c>
      <c r="M447" t="s">
        <v>5</v>
      </c>
      <c r="N447" t="s">
        <v>51</v>
      </c>
      <c r="O447" t="s">
        <v>39</v>
      </c>
      <c r="P447">
        <v>6012.88</v>
      </c>
      <c r="Q447">
        <v>728544.11</v>
      </c>
      <c r="R447" t="s">
        <v>28</v>
      </c>
      <c r="S447" s="1">
        <v>45797</v>
      </c>
    </row>
    <row r="448" spans="1:19" x14ac:dyDescent="0.25">
      <c r="A448" s="5" t="s">
        <v>933</v>
      </c>
      <c r="B448" s="5" t="s">
        <v>934</v>
      </c>
      <c r="C448" s="5" t="s">
        <v>31</v>
      </c>
      <c r="D448" s="5">
        <v>46</v>
      </c>
      <c r="E448" s="5" t="s">
        <v>32</v>
      </c>
      <c r="F448" s="5" t="s">
        <v>23</v>
      </c>
      <c r="G448" s="5" t="s">
        <v>33</v>
      </c>
      <c r="H448" s="5">
        <v>753666</v>
      </c>
      <c r="I448">
        <v>807</v>
      </c>
      <c r="J448">
        <v>1313000</v>
      </c>
      <c r="K448">
        <v>240</v>
      </c>
      <c r="L448">
        <v>8.9499999999999993</v>
      </c>
      <c r="M448" t="s">
        <v>54</v>
      </c>
      <c r="N448" t="s">
        <v>51</v>
      </c>
      <c r="O448" t="s">
        <v>27</v>
      </c>
      <c r="P448">
        <v>5960.47</v>
      </c>
      <c r="Q448">
        <v>483407.32</v>
      </c>
      <c r="R448" t="s">
        <v>28</v>
      </c>
      <c r="S448" s="1">
        <v>45398</v>
      </c>
    </row>
    <row r="449" spans="1:19" x14ac:dyDescent="0.25">
      <c r="A449" s="5" t="s">
        <v>935</v>
      </c>
      <c r="B449" s="5" t="s">
        <v>936</v>
      </c>
      <c r="C449" s="5" t="s">
        <v>21</v>
      </c>
      <c r="D449" s="5">
        <v>52</v>
      </c>
      <c r="E449" s="5" t="s">
        <v>32</v>
      </c>
      <c r="F449" s="5" t="s">
        <v>23</v>
      </c>
      <c r="G449" s="5" t="s">
        <v>24</v>
      </c>
      <c r="H449" s="5">
        <v>674711</v>
      </c>
      <c r="I449">
        <v>594</v>
      </c>
      <c r="J449">
        <v>903528</v>
      </c>
      <c r="K449">
        <v>24</v>
      </c>
      <c r="L449">
        <v>11.61</v>
      </c>
      <c r="M449" t="s">
        <v>54</v>
      </c>
      <c r="N449" t="s">
        <v>51</v>
      </c>
      <c r="O449" t="s">
        <v>27</v>
      </c>
      <c r="P449">
        <v>42017.82</v>
      </c>
      <c r="Q449">
        <v>329372.18</v>
      </c>
      <c r="R449" t="s">
        <v>28</v>
      </c>
      <c r="S449" s="1">
        <v>45654</v>
      </c>
    </row>
    <row r="450" spans="1:19" x14ac:dyDescent="0.25">
      <c r="A450" s="5" t="s">
        <v>937</v>
      </c>
      <c r="B450" s="5" t="s">
        <v>938</v>
      </c>
      <c r="C450" s="5" t="s">
        <v>21</v>
      </c>
      <c r="D450" s="5">
        <v>34</v>
      </c>
      <c r="E450" s="5" t="s">
        <v>22</v>
      </c>
      <c r="F450" s="5" t="s">
        <v>23</v>
      </c>
      <c r="G450" s="5" t="s">
        <v>24</v>
      </c>
      <c r="H450" s="5">
        <v>1638086</v>
      </c>
      <c r="I450">
        <v>753</v>
      </c>
      <c r="J450">
        <v>656581</v>
      </c>
      <c r="K450">
        <v>36</v>
      </c>
      <c r="L450">
        <v>7.71</v>
      </c>
      <c r="M450" t="s">
        <v>54</v>
      </c>
      <c r="N450" t="s">
        <v>26</v>
      </c>
      <c r="O450" t="s">
        <v>27</v>
      </c>
      <c r="P450">
        <v>19644.54</v>
      </c>
      <c r="Q450">
        <v>146068.49</v>
      </c>
      <c r="R450" t="s">
        <v>28</v>
      </c>
      <c r="S450" s="1">
        <v>45985</v>
      </c>
    </row>
    <row r="451" spans="1:19" x14ac:dyDescent="0.25">
      <c r="A451" s="5" t="s">
        <v>939</v>
      </c>
      <c r="B451" s="5" t="s">
        <v>940</v>
      </c>
      <c r="C451" s="5" t="s">
        <v>31</v>
      </c>
      <c r="D451" s="5">
        <v>53</v>
      </c>
      <c r="E451" s="5" t="s">
        <v>22</v>
      </c>
      <c r="F451" s="5" t="s">
        <v>42</v>
      </c>
      <c r="G451" s="5" t="s">
        <v>33</v>
      </c>
      <c r="H451" s="5">
        <v>1029575</v>
      </c>
      <c r="I451">
        <v>787</v>
      </c>
      <c r="J451">
        <v>1531944</v>
      </c>
      <c r="K451">
        <v>84</v>
      </c>
      <c r="L451">
        <v>12.16</v>
      </c>
      <c r="M451" t="s">
        <v>25</v>
      </c>
      <c r="N451" t="s">
        <v>51</v>
      </c>
      <c r="O451" t="s">
        <v>27</v>
      </c>
      <c r="P451">
        <v>20455.099999999999</v>
      </c>
      <c r="Q451">
        <v>243945.97</v>
      </c>
      <c r="R451" t="s">
        <v>28</v>
      </c>
      <c r="S451" s="1">
        <v>45394</v>
      </c>
    </row>
    <row r="452" spans="1:19" x14ac:dyDescent="0.25">
      <c r="A452" s="5" t="s">
        <v>941</v>
      </c>
      <c r="B452" s="5" t="s">
        <v>942</v>
      </c>
      <c r="C452" s="5" t="s">
        <v>21</v>
      </c>
      <c r="D452" s="5">
        <v>36</v>
      </c>
      <c r="E452" s="5" t="s">
        <v>22</v>
      </c>
      <c r="F452" s="5" t="s">
        <v>23</v>
      </c>
      <c r="G452" s="5" t="s">
        <v>33</v>
      </c>
      <c r="H452" s="5">
        <v>382181</v>
      </c>
      <c r="I452">
        <v>753</v>
      </c>
      <c r="J452">
        <v>714365</v>
      </c>
      <c r="K452">
        <v>36</v>
      </c>
      <c r="L452">
        <v>14.37</v>
      </c>
      <c r="M452" t="s">
        <v>43</v>
      </c>
      <c r="N452" t="s">
        <v>26</v>
      </c>
      <c r="O452" t="s">
        <v>27</v>
      </c>
      <c r="P452">
        <v>22694.98</v>
      </c>
      <c r="Q452">
        <v>371479.26</v>
      </c>
      <c r="R452" t="s">
        <v>28</v>
      </c>
      <c r="S452" s="1">
        <v>45767</v>
      </c>
    </row>
    <row r="453" spans="1:19" x14ac:dyDescent="0.25">
      <c r="A453" s="5" t="s">
        <v>943</v>
      </c>
      <c r="B453" s="5" t="s">
        <v>944</v>
      </c>
      <c r="C453" s="5" t="s">
        <v>31</v>
      </c>
      <c r="D453" s="5">
        <v>38</v>
      </c>
      <c r="E453" s="5" t="s">
        <v>32</v>
      </c>
      <c r="F453" s="5" t="s">
        <v>42</v>
      </c>
      <c r="G453" s="5" t="s">
        <v>33</v>
      </c>
      <c r="H453" s="5">
        <v>521400</v>
      </c>
      <c r="I453">
        <v>735</v>
      </c>
      <c r="J453">
        <v>244126</v>
      </c>
      <c r="K453">
        <v>84</v>
      </c>
      <c r="L453">
        <v>14.85</v>
      </c>
      <c r="M453" t="s">
        <v>25</v>
      </c>
      <c r="N453" t="s">
        <v>104</v>
      </c>
      <c r="O453" t="s">
        <v>27</v>
      </c>
      <c r="P453">
        <v>3337.84</v>
      </c>
      <c r="Q453">
        <v>235523.05</v>
      </c>
      <c r="R453" t="s">
        <v>28</v>
      </c>
      <c r="S453" s="1">
        <v>45806</v>
      </c>
    </row>
    <row r="454" spans="1:19" x14ac:dyDescent="0.25">
      <c r="A454" s="5" t="s">
        <v>945</v>
      </c>
      <c r="B454" s="5" t="s">
        <v>946</v>
      </c>
      <c r="C454" s="5" t="s">
        <v>31</v>
      </c>
      <c r="D454" s="5">
        <v>46</v>
      </c>
      <c r="E454" s="5" t="s">
        <v>22</v>
      </c>
      <c r="F454" s="5" t="s">
        <v>23</v>
      </c>
      <c r="G454" s="5" t="s">
        <v>33</v>
      </c>
      <c r="H454" s="5">
        <v>1443496</v>
      </c>
      <c r="I454">
        <v>593</v>
      </c>
      <c r="J454">
        <v>1428189</v>
      </c>
      <c r="K454">
        <v>240</v>
      </c>
      <c r="L454">
        <v>13.04</v>
      </c>
      <c r="M454" t="s">
        <v>43</v>
      </c>
      <c r="N454" t="s">
        <v>44</v>
      </c>
      <c r="O454" t="s">
        <v>27</v>
      </c>
      <c r="P454">
        <v>6726.77</v>
      </c>
      <c r="Q454">
        <v>677371.86</v>
      </c>
      <c r="R454" t="s">
        <v>35</v>
      </c>
      <c r="S454" s="1">
        <v>45707</v>
      </c>
    </row>
    <row r="455" spans="1:19" x14ac:dyDescent="0.25">
      <c r="A455" s="5" t="s">
        <v>947</v>
      </c>
      <c r="B455" s="5" t="s">
        <v>948</v>
      </c>
      <c r="C455" s="5" t="s">
        <v>31</v>
      </c>
      <c r="D455" s="5">
        <v>33</v>
      </c>
      <c r="E455" s="5" t="s">
        <v>22</v>
      </c>
      <c r="F455" s="5" t="s">
        <v>42</v>
      </c>
      <c r="G455" s="5" t="s">
        <v>24</v>
      </c>
      <c r="H455" s="5">
        <v>260609</v>
      </c>
      <c r="I455">
        <v>577</v>
      </c>
      <c r="J455">
        <v>896794</v>
      </c>
      <c r="K455">
        <v>120</v>
      </c>
      <c r="L455">
        <v>13.6</v>
      </c>
      <c r="M455" t="s">
        <v>5</v>
      </c>
      <c r="N455" t="s">
        <v>104</v>
      </c>
      <c r="O455" t="s">
        <v>27</v>
      </c>
      <c r="P455">
        <v>8489.65</v>
      </c>
      <c r="Q455">
        <v>202459.74</v>
      </c>
      <c r="R455" t="s">
        <v>35</v>
      </c>
      <c r="S455" s="1">
        <v>45306</v>
      </c>
    </row>
    <row r="456" spans="1:19" x14ac:dyDescent="0.25">
      <c r="A456" s="5" t="s">
        <v>949</v>
      </c>
      <c r="B456" s="5" t="s">
        <v>950</v>
      </c>
      <c r="C456" s="5" t="s">
        <v>21</v>
      </c>
      <c r="D456" s="5">
        <v>43</v>
      </c>
      <c r="E456" s="5" t="s">
        <v>32</v>
      </c>
      <c r="F456" s="5" t="s">
        <v>23</v>
      </c>
      <c r="G456" s="5" t="s">
        <v>24</v>
      </c>
      <c r="H456" s="5">
        <v>516930</v>
      </c>
      <c r="I456">
        <v>821</v>
      </c>
      <c r="J456">
        <v>245443</v>
      </c>
      <c r="K456">
        <v>120</v>
      </c>
      <c r="L456">
        <v>10.47</v>
      </c>
      <c r="M456" t="s">
        <v>57</v>
      </c>
      <c r="N456" t="s">
        <v>38</v>
      </c>
      <c r="O456" t="s">
        <v>27</v>
      </c>
      <c r="P456">
        <v>2259.5100000000002</v>
      </c>
      <c r="Q456">
        <v>148100.99</v>
      </c>
      <c r="R456" t="s">
        <v>28</v>
      </c>
      <c r="S456" s="1">
        <v>45686</v>
      </c>
    </row>
    <row r="457" spans="1:19" x14ac:dyDescent="0.25">
      <c r="A457" s="5" t="s">
        <v>951</v>
      </c>
      <c r="B457" s="5" t="s">
        <v>952</v>
      </c>
      <c r="C457" s="5" t="s">
        <v>21</v>
      </c>
      <c r="D457" s="5">
        <v>57</v>
      </c>
      <c r="E457" s="5" t="s">
        <v>32</v>
      </c>
      <c r="F457" s="5" t="s">
        <v>23</v>
      </c>
      <c r="G457" s="5" t="s">
        <v>33</v>
      </c>
      <c r="H457" s="5">
        <v>342315</v>
      </c>
      <c r="I457">
        <v>843</v>
      </c>
      <c r="J457">
        <v>344104</v>
      </c>
      <c r="K457">
        <v>12</v>
      </c>
      <c r="L457">
        <v>7.58</v>
      </c>
      <c r="M457" t="s">
        <v>43</v>
      </c>
      <c r="N457" t="s">
        <v>38</v>
      </c>
      <c r="O457" t="s">
        <v>39</v>
      </c>
      <c r="P457">
        <v>30848.92</v>
      </c>
      <c r="Q457">
        <v>105696.22</v>
      </c>
      <c r="R457" t="s">
        <v>28</v>
      </c>
      <c r="S457" s="1">
        <v>45311</v>
      </c>
    </row>
    <row r="458" spans="1:19" x14ac:dyDescent="0.25">
      <c r="A458" s="5" t="s">
        <v>953</v>
      </c>
      <c r="B458" s="5" t="s">
        <v>954</v>
      </c>
      <c r="C458" s="5" t="s">
        <v>21</v>
      </c>
      <c r="D458" s="5">
        <v>23</v>
      </c>
      <c r="E458" s="5" t="s">
        <v>32</v>
      </c>
      <c r="F458" s="5" t="s">
        <v>42</v>
      </c>
      <c r="G458" s="5" t="s">
        <v>33</v>
      </c>
      <c r="H458" s="5">
        <v>1830218</v>
      </c>
      <c r="I458">
        <v>554</v>
      </c>
      <c r="J458">
        <v>990643</v>
      </c>
      <c r="K458">
        <v>12</v>
      </c>
      <c r="L458">
        <v>8.48</v>
      </c>
      <c r="M458" t="s">
        <v>57</v>
      </c>
      <c r="N458" t="s">
        <v>26</v>
      </c>
      <c r="O458" t="s">
        <v>27</v>
      </c>
      <c r="P458">
        <v>89554.13</v>
      </c>
      <c r="Q458">
        <v>470797.95</v>
      </c>
      <c r="R458" t="s">
        <v>28</v>
      </c>
      <c r="S458" s="1">
        <v>45933</v>
      </c>
    </row>
    <row r="459" spans="1:19" x14ac:dyDescent="0.25">
      <c r="A459" s="5" t="s">
        <v>955</v>
      </c>
      <c r="B459" s="5" t="s">
        <v>956</v>
      </c>
      <c r="C459" s="5" t="s">
        <v>21</v>
      </c>
      <c r="D459" s="5">
        <v>25</v>
      </c>
      <c r="E459" s="5" t="s">
        <v>22</v>
      </c>
      <c r="F459" s="5" t="s">
        <v>42</v>
      </c>
      <c r="G459" s="5" t="s">
        <v>24</v>
      </c>
      <c r="H459" s="5">
        <v>1143144</v>
      </c>
      <c r="I459">
        <v>842</v>
      </c>
      <c r="J459">
        <v>1236466</v>
      </c>
      <c r="K459">
        <v>240</v>
      </c>
      <c r="L459">
        <v>14.52</v>
      </c>
      <c r="M459" t="s">
        <v>25</v>
      </c>
      <c r="N459" t="s">
        <v>34</v>
      </c>
      <c r="O459" t="s">
        <v>27</v>
      </c>
      <c r="P459">
        <v>5900</v>
      </c>
      <c r="Q459">
        <v>1138018.21</v>
      </c>
      <c r="R459" t="s">
        <v>28</v>
      </c>
      <c r="S459" s="1">
        <v>45518</v>
      </c>
    </row>
    <row r="460" spans="1:19" x14ac:dyDescent="0.25">
      <c r="A460" s="5" t="s">
        <v>957</v>
      </c>
      <c r="B460" s="5" t="s">
        <v>958</v>
      </c>
      <c r="C460" s="5" t="s">
        <v>21</v>
      </c>
      <c r="D460" s="5">
        <v>21</v>
      </c>
      <c r="E460" s="5" t="s">
        <v>22</v>
      </c>
      <c r="F460" s="5" t="s">
        <v>23</v>
      </c>
      <c r="G460" s="5" t="s">
        <v>33</v>
      </c>
      <c r="H460" s="5">
        <v>1965556</v>
      </c>
      <c r="I460">
        <v>848</v>
      </c>
      <c r="J460">
        <v>562250</v>
      </c>
      <c r="K460">
        <v>84</v>
      </c>
      <c r="L460">
        <v>14.86</v>
      </c>
      <c r="M460" t="s">
        <v>57</v>
      </c>
      <c r="N460" t="s">
        <v>104</v>
      </c>
      <c r="O460" t="s">
        <v>27</v>
      </c>
      <c r="P460">
        <v>7688.1</v>
      </c>
      <c r="Q460">
        <v>479341.33</v>
      </c>
      <c r="R460" t="s">
        <v>28</v>
      </c>
      <c r="S460" s="1">
        <v>45661</v>
      </c>
    </row>
    <row r="461" spans="1:19" x14ac:dyDescent="0.25">
      <c r="A461" s="5" t="s">
        <v>959</v>
      </c>
      <c r="B461" s="5" t="s">
        <v>960</v>
      </c>
      <c r="C461" s="5" t="s">
        <v>31</v>
      </c>
      <c r="D461" s="5">
        <v>22</v>
      </c>
      <c r="E461" s="5" t="s">
        <v>32</v>
      </c>
      <c r="F461" s="5" t="s">
        <v>23</v>
      </c>
      <c r="G461" s="5" t="s">
        <v>24</v>
      </c>
      <c r="H461" s="5">
        <v>1215789</v>
      </c>
      <c r="I461">
        <v>728</v>
      </c>
      <c r="J461">
        <v>625498</v>
      </c>
      <c r="K461">
        <v>24</v>
      </c>
      <c r="L461">
        <v>11.04</v>
      </c>
      <c r="M461" t="s">
        <v>25</v>
      </c>
      <c r="N461" t="s">
        <v>51</v>
      </c>
      <c r="O461" t="s">
        <v>27</v>
      </c>
      <c r="P461">
        <v>28939.71</v>
      </c>
      <c r="Q461">
        <v>457068.94</v>
      </c>
      <c r="R461" t="s">
        <v>28</v>
      </c>
      <c r="S461" s="1">
        <v>45431</v>
      </c>
    </row>
    <row r="462" spans="1:19" x14ac:dyDescent="0.25">
      <c r="A462" s="5" t="s">
        <v>961</v>
      </c>
      <c r="B462" s="5" t="s">
        <v>962</v>
      </c>
      <c r="C462" s="5" t="s">
        <v>21</v>
      </c>
      <c r="D462" s="5">
        <v>57</v>
      </c>
      <c r="E462" s="5" t="s">
        <v>22</v>
      </c>
      <c r="F462" s="5" t="s">
        <v>42</v>
      </c>
      <c r="G462" s="5" t="s">
        <v>24</v>
      </c>
      <c r="H462" s="5">
        <v>1155644</v>
      </c>
      <c r="I462">
        <v>755</v>
      </c>
      <c r="J462">
        <v>1006450</v>
      </c>
      <c r="K462">
        <v>36</v>
      </c>
      <c r="L462">
        <v>8.83</v>
      </c>
      <c r="M462" t="s">
        <v>25</v>
      </c>
      <c r="N462" t="s">
        <v>38</v>
      </c>
      <c r="O462" t="s">
        <v>27</v>
      </c>
      <c r="P462">
        <v>30425.54</v>
      </c>
      <c r="Q462">
        <v>395415.6</v>
      </c>
      <c r="R462" t="s">
        <v>28</v>
      </c>
      <c r="S462" s="1">
        <v>45806</v>
      </c>
    </row>
    <row r="463" spans="1:19" x14ac:dyDescent="0.25">
      <c r="A463" s="5" t="s">
        <v>963</v>
      </c>
      <c r="B463" s="5" t="s">
        <v>964</v>
      </c>
      <c r="C463" s="5" t="s">
        <v>31</v>
      </c>
      <c r="D463" s="5">
        <v>28</v>
      </c>
      <c r="E463" s="5" t="s">
        <v>22</v>
      </c>
      <c r="F463" s="5" t="s">
        <v>23</v>
      </c>
      <c r="G463" s="5" t="s">
        <v>33</v>
      </c>
      <c r="H463" s="5">
        <v>638281</v>
      </c>
      <c r="I463">
        <v>815</v>
      </c>
      <c r="J463">
        <v>406693</v>
      </c>
      <c r="K463">
        <v>120</v>
      </c>
      <c r="L463">
        <v>14.22</v>
      </c>
      <c r="M463" t="s">
        <v>43</v>
      </c>
      <c r="N463" t="s">
        <v>104</v>
      </c>
      <c r="O463" t="s">
        <v>27</v>
      </c>
      <c r="P463">
        <v>3871.04</v>
      </c>
      <c r="Q463">
        <v>330267.96999999997</v>
      </c>
      <c r="R463" t="s">
        <v>28</v>
      </c>
      <c r="S463" s="1">
        <v>45992</v>
      </c>
    </row>
    <row r="464" spans="1:19" x14ac:dyDescent="0.25">
      <c r="A464" s="5" t="s">
        <v>965</v>
      </c>
      <c r="B464" s="5" t="s">
        <v>966</v>
      </c>
      <c r="C464" s="5" t="s">
        <v>31</v>
      </c>
      <c r="D464" s="5">
        <v>60</v>
      </c>
      <c r="E464" s="5" t="s">
        <v>22</v>
      </c>
      <c r="F464" s="5" t="s">
        <v>42</v>
      </c>
      <c r="G464" s="5" t="s">
        <v>24</v>
      </c>
      <c r="H464" s="5">
        <v>545335</v>
      </c>
      <c r="I464">
        <v>774</v>
      </c>
      <c r="J464">
        <v>1218539</v>
      </c>
      <c r="K464">
        <v>120</v>
      </c>
      <c r="L464">
        <v>11.57</v>
      </c>
      <c r="M464" t="s">
        <v>43</v>
      </c>
      <c r="N464" t="s">
        <v>38</v>
      </c>
      <c r="O464" t="s">
        <v>27</v>
      </c>
      <c r="P464">
        <v>11329.37</v>
      </c>
      <c r="Q464">
        <v>853228.62</v>
      </c>
      <c r="R464" t="s">
        <v>28</v>
      </c>
      <c r="S464" s="1">
        <v>45832</v>
      </c>
    </row>
    <row r="465" spans="1:19" x14ac:dyDescent="0.25">
      <c r="A465" s="5" t="s">
        <v>967</v>
      </c>
      <c r="B465" s="5" t="s">
        <v>968</v>
      </c>
      <c r="C465" s="5" t="s">
        <v>31</v>
      </c>
      <c r="D465" s="5">
        <v>33</v>
      </c>
      <c r="E465" s="5" t="s">
        <v>22</v>
      </c>
      <c r="F465" s="5" t="s">
        <v>23</v>
      </c>
      <c r="G465" s="5" t="s">
        <v>33</v>
      </c>
      <c r="H465" s="5">
        <v>333694</v>
      </c>
      <c r="I465">
        <v>582</v>
      </c>
      <c r="J465">
        <v>1554301</v>
      </c>
      <c r="K465">
        <v>60</v>
      </c>
      <c r="L465">
        <v>8.2799999999999994</v>
      </c>
      <c r="M465" t="s">
        <v>5</v>
      </c>
      <c r="N465" t="s">
        <v>44</v>
      </c>
      <c r="O465" t="s">
        <v>39</v>
      </c>
      <c r="P465">
        <v>28049.95</v>
      </c>
      <c r="Q465">
        <v>1297343.08</v>
      </c>
      <c r="R465" t="s">
        <v>28</v>
      </c>
      <c r="S465" s="1">
        <v>45875</v>
      </c>
    </row>
    <row r="466" spans="1:19" x14ac:dyDescent="0.25">
      <c r="A466" s="5" t="s">
        <v>969</v>
      </c>
      <c r="B466" s="5" t="s">
        <v>970</v>
      </c>
      <c r="C466" s="5" t="s">
        <v>31</v>
      </c>
      <c r="D466" s="5">
        <v>58</v>
      </c>
      <c r="E466" s="5" t="s">
        <v>22</v>
      </c>
      <c r="F466" s="5" t="s">
        <v>23</v>
      </c>
      <c r="G466" s="5" t="s">
        <v>24</v>
      </c>
      <c r="H466" s="5">
        <v>1072376</v>
      </c>
      <c r="I466">
        <v>763</v>
      </c>
      <c r="J466">
        <v>1506523</v>
      </c>
      <c r="K466">
        <v>12</v>
      </c>
      <c r="L466">
        <v>11.47</v>
      </c>
      <c r="M466" t="s">
        <v>5</v>
      </c>
      <c r="N466" t="s">
        <v>51</v>
      </c>
      <c r="O466" t="s">
        <v>27</v>
      </c>
      <c r="P466">
        <v>139943.43</v>
      </c>
      <c r="Q466">
        <v>357577.04</v>
      </c>
      <c r="R466" t="s">
        <v>28</v>
      </c>
      <c r="S466" s="1">
        <v>45749</v>
      </c>
    </row>
    <row r="467" spans="1:19" x14ac:dyDescent="0.25">
      <c r="A467" s="5" t="s">
        <v>971</v>
      </c>
      <c r="B467" s="5" t="s">
        <v>972</v>
      </c>
      <c r="C467" s="5" t="s">
        <v>31</v>
      </c>
      <c r="D467" s="5">
        <v>51</v>
      </c>
      <c r="E467" s="5" t="s">
        <v>32</v>
      </c>
      <c r="F467" s="5" t="s">
        <v>42</v>
      </c>
      <c r="G467" s="5" t="s">
        <v>24</v>
      </c>
      <c r="H467" s="5">
        <v>1226150</v>
      </c>
      <c r="I467">
        <v>587</v>
      </c>
      <c r="J467">
        <v>785439</v>
      </c>
      <c r="K467">
        <v>60</v>
      </c>
      <c r="L467">
        <v>13.84</v>
      </c>
      <c r="M467" t="s">
        <v>57</v>
      </c>
      <c r="N467" t="s">
        <v>44</v>
      </c>
      <c r="O467" t="s">
        <v>27</v>
      </c>
      <c r="P467">
        <v>14902.4</v>
      </c>
      <c r="Q467">
        <v>594568.16</v>
      </c>
      <c r="R467" t="s">
        <v>35</v>
      </c>
      <c r="S467" s="1">
        <v>46020</v>
      </c>
    </row>
    <row r="468" spans="1:19" x14ac:dyDescent="0.25">
      <c r="A468" s="5" t="s">
        <v>973</v>
      </c>
      <c r="B468" s="5" t="s">
        <v>974</v>
      </c>
      <c r="C468" s="5" t="s">
        <v>21</v>
      </c>
      <c r="D468" s="5">
        <v>59</v>
      </c>
      <c r="E468" s="5" t="s">
        <v>32</v>
      </c>
      <c r="F468" s="5" t="s">
        <v>42</v>
      </c>
      <c r="G468" s="5" t="s">
        <v>24</v>
      </c>
      <c r="H468" s="5">
        <v>1390808</v>
      </c>
      <c r="I468">
        <v>804</v>
      </c>
      <c r="J468">
        <v>1321128</v>
      </c>
      <c r="K468">
        <v>60</v>
      </c>
      <c r="L468">
        <v>10.85</v>
      </c>
      <c r="M468" t="s">
        <v>5</v>
      </c>
      <c r="N468" t="s">
        <v>44</v>
      </c>
      <c r="O468" t="s">
        <v>27</v>
      </c>
      <c r="P468">
        <v>24407.84</v>
      </c>
      <c r="Q468">
        <v>582212.39</v>
      </c>
      <c r="R468" t="s">
        <v>28</v>
      </c>
      <c r="S468" s="1">
        <v>45953</v>
      </c>
    </row>
    <row r="469" spans="1:19" x14ac:dyDescent="0.25">
      <c r="A469" s="5" t="s">
        <v>975</v>
      </c>
      <c r="B469" s="5" t="s">
        <v>976</v>
      </c>
      <c r="C469" s="5" t="s">
        <v>21</v>
      </c>
      <c r="D469" s="5">
        <v>22</v>
      </c>
      <c r="E469" s="5" t="s">
        <v>22</v>
      </c>
      <c r="F469" s="5" t="s">
        <v>23</v>
      </c>
      <c r="G469" s="5" t="s">
        <v>33</v>
      </c>
      <c r="H469" s="5">
        <v>395740</v>
      </c>
      <c r="I469">
        <v>771</v>
      </c>
      <c r="J469">
        <v>1735109</v>
      </c>
      <c r="K469">
        <v>240</v>
      </c>
      <c r="L469">
        <v>10.72</v>
      </c>
      <c r="M469" t="s">
        <v>25</v>
      </c>
      <c r="N469" t="s">
        <v>104</v>
      </c>
      <c r="O469" t="s">
        <v>39</v>
      </c>
      <c r="P469">
        <v>8004.64</v>
      </c>
      <c r="Q469">
        <v>1474821.4</v>
      </c>
      <c r="R469" t="s">
        <v>28</v>
      </c>
      <c r="S469" s="1">
        <v>45583</v>
      </c>
    </row>
    <row r="470" spans="1:19" x14ac:dyDescent="0.25">
      <c r="A470" s="5" t="s">
        <v>977</v>
      </c>
      <c r="B470" s="5" t="s">
        <v>978</v>
      </c>
      <c r="C470" s="5" t="s">
        <v>31</v>
      </c>
      <c r="D470" s="5">
        <v>55</v>
      </c>
      <c r="E470" s="5" t="s">
        <v>32</v>
      </c>
      <c r="F470" s="5" t="s">
        <v>23</v>
      </c>
      <c r="G470" s="5" t="s">
        <v>33</v>
      </c>
      <c r="H470" s="5">
        <v>309872</v>
      </c>
      <c r="I470">
        <v>583</v>
      </c>
      <c r="J470">
        <v>1962220</v>
      </c>
      <c r="K470">
        <v>60</v>
      </c>
      <c r="L470">
        <v>10.41</v>
      </c>
      <c r="M470" t="s">
        <v>25</v>
      </c>
      <c r="N470" t="s">
        <v>44</v>
      </c>
      <c r="O470" t="s">
        <v>39</v>
      </c>
      <c r="P470">
        <v>36108.120000000003</v>
      </c>
      <c r="Q470">
        <v>1234147.51</v>
      </c>
      <c r="R470" t="s">
        <v>28</v>
      </c>
      <c r="S470" s="1">
        <v>45629</v>
      </c>
    </row>
    <row r="471" spans="1:19" x14ac:dyDescent="0.25">
      <c r="A471" s="5" t="s">
        <v>979</v>
      </c>
      <c r="B471" s="5" t="s">
        <v>980</v>
      </c>
      <c r="C471" s="5" t="s">
        <v>31</v>
      </c>
      <c r="D471" s="5">
        <v>32</v>
      </c>
      <c r="E471" s="5" t="s">
        <v>32</v>
      </c>
      <c r="F471" s="5" t="s">
        <v>42</v>
      </c>
      <c r="G471" s="5" t="s">
        <v>33</v>
      </c>
      <c r="H471" s="5">
        <v>593608</v>
      </c>
      <c r="I471">
        <v>834</v>
      </c>
      <c r="J471">
        <v>1376559</v>
      </c>
      <c r="K471">
        <v>240</v>
      </c>
      <c r="L471">
        <v>9.75</v>
      </c>
      <c r="M471" t="s">
        <v>25</v>
      </c>
      <c r="N471" t="s">
        <v>38</v>
      </c>
      <c r="O471" t="s">
        <v>27</v>
      </c>
      <c r="P471">
        <v>6294.89</v>
      </c>
      <c r="Q471">
        <v>1112167.43</v>
      </c>
      <c r="R471" t="s">
        <v>28</v>
      </c>
      <c r="S471" s="1">
        <v>45437</v>
      </c>
    </row>
    <row r="472" spans="1:19" x14ac:dyDescent="0.25">
      <c r="A472" s="5" t="s">
        <v>981</v>
      </c>
      <c r="B472" s="5" t="s">
        <v>982</v>
      </c>
      <c r="C472" s="5" t="s">
        <v>21</v>
      </c>
      <c r="D472" s="5">
        <v>29</v>
      </c>
      <c r="E472" s="5" t="s">
        <v>32</v>
      </c>
      <c r="F472" s="5" t="s">
        <v>23</v>
      </c>
      <c r="G472" s="5" t="s">
        <v>24</v>
      </c>
      <c r="H472" s="5">
        <v>1093844</v>
      </c>
      <c r="I472">
        <v>709</v>
      </c>
      <c r="J472">
        <v>360710</v>
      </c>
      <c r="K472">
        <v>84</v>
      </c>
      <c r="L472">
        <v>14.35</v>
      </c>
      <c r="M472" t="s">
        <v>5</v>
      </c>
      <c r="N472" t="s">
        <v>104</v>
      </c>
      <c r="O472" t="s">
        <v>27</v>
      </c>
      <c r="P472">
        <v>4910.38</v>
      </c>
      <c r="Q472">
        <v>140574.97</v>
      </c>
      <c r="R472" t="s">
        <v>28</v>
      </c>
      <c r="S472" s="1">
        <v>45968</v>
      </c>
    </row>
    <row r="473" spans="1:19" x14ac:dyDescent="0.25">
      <c r="A473" s="5" t="s">
        <v>983</v>
      </c>
      <c r="B473" s="5" t="s">
        <v>984</v>
      </c>
      <c r="C473" s="5" t="s">
        <v>21</v>
      </c>
      <c r="D473" s="5">
        <v>60</v>
      </c>
      <c r="E473" s="5" t="s">
        <v>22</v>
      </c>
      <c r="F473" s="5" t="s">
        <v>23</v>
      </c>
      <c r="G473" s="5" t="s">
        <v>33</v>
      </c>
      <c r="H473" s="5">
        <v>1996272</v>
      </c>
      <c r="I473">
        <v>748</v>
      </c>
      <c r="J473">
        <v>1971119</v>
      </c>
      <c r="K473">
        <v>12</v>
      </c>
      <c r="L473">
        <v>15.43</v>
      </c>
      <c r="M473" t="s">
        <v>57</v>
      </c>
      <c r="N473" t="s">
        <v>51</v>
      </c>
      <c r="O473" t="s">
        <v>27</v>
      </c>
      <c r="P473">
        <v>189605.22</v>
      </c>
      <c r="Q473">
        <v>363183.59</v>
      </c>
      <c r="R473" t="s">
        <v>28</v>
      </c>
      <c r="S473" s="1">
        <v>45306</v>
      </c>
    </row>
    <row r="474" spans="1:19" x14ac:dyDescent="0.25">
      <c r="A474" s="5" t="s">
        <v>985</v>
      </c>
      <c r="B474" s="5" t="s">
        <v>986</v>
      </c>
      <c r="C474" s="5" t="s">
        <v>31</v>
      </c>
      <c r="D474" s="5">
        <v>60</v>
      </c>
      <c r="E474" s="5" t="s">
        <v>22</v>
      </c>
      <c r="F474" s="5" t="s">
        <v>23</v>
      </c>
      <c r="G474" s="5" t="s">
        <v>33</v>
      </c>
      <c r="H474" s="5">
        <v>1588580</v>
      </c>
      <c r="I474">
        <v>560</v>
      </c>
      <c r="J474">
        <v>764948</v>
      </c>
      <c r="K474">
        <v>240</v>
      </c>
      <c r="L474">
        <v>12.12</v>
      </c>
      <c r="M474" t="s">
        <v>25</v>
      </c>
      <c r="N474" t="s">
        <v>44</v>
      </c>
      <c r="O474" t="s">
        <v>27</v>
      </c>
      <c r="P474">
        <v>3573.58</v>
      </c>
      <c r="Q474">
        <v>195338.39</v>
      </c>
      <c r="R474" t="s">
        <v>35</v>
      </c>
      <c r="S474" s="1">
        <v>45695</v>
      </c>
    </row>
    <row r="475" spans="1:19" x14ac:dyDescent="0.25">
      <c r="A475" s="5" t="s">
        <v>987</v>
      </c>
      <c r="B475" s="5" t="s">
        <v>988</v>
      </c>
      <c r="C475" s="5" t="s">
        <v>31</v>
      </c>
      <c r="D475" s="5">
        <v>53</v>
      </c>
      <c r="E475" s="5" t="s">
        <v>22</v>
      </c>
      <c r="F475" s="5" t="s">
        <v>23</v>
      </c>
      <c r="G475" s="5" t="s">
        <v>33</v>
      </c>
      <c r="H475" s="5">
        <v>392819</v>
      </c>
      <c r="I475">
        <v>651</v>
      </c>
      <c r="J475">
        <v>178754</v>
      </c>
      <c r="K475">
        <v>84</v>
      </c>
      <c r="L475">
        <v>14.31</v>
      </c>
      <c r="M475" t="s">
        <v>43</v>
      </c>
      <c r="N475" t="s">
        <v>104</v>
      </c>
      <c r="O475" t="s">
        <v>39</v>
      </c>
      <c r="P475">
        <v>2432.54</v>
      </c>
      <c r="Q475">
        <v>146869.24</v>
      </c>
      <c r="R475" t="s">
        <v>28</v>
      </c>
      <c r="S475" s="1">
        <v>45955</v>
      </c>
    </row>
    <row r="476" spans="1:19" x14ac:dyDescent="0.25">
      <c r="A476" s="5" t="s">
        <v>989</v>
      </c>
      <c r="B476" s="5" t="s">
        <v>990</v>
      </c>
      <c r="C476" s="5" t="s">
        <v>31</v>
      </c>
      <c r="D476" s="5">
        <v>33</v>
      </c>
      <c r="E476" s="5" t="s">
        <v>32</v>
      </c>
      <c r="F476" s="5" t="s">
        <v>42</v>
      </c>
      <c r="G476" s="5" t="s">
        <v>24</v>
      </c>
      <c r="H476" s="5">
        <v>1713436</v>
      </c>
      <c r="I476">
        <v>586</v>
      </c>
      <c r="J476">
        <v>498214</v>
      </c>
      <c r="K476">
        <v>60</v>
      </c>
      <c r="L476">
        <v>9.2899999999999991</v>
      </c>
      <c r="M476" t="s">
        <v>54</v>
      </c>
      <c r="N476" t="s">
        <v>26</v>
      </c>
      <c r="O476" t="s">
        <v>39</v>
      </c>
      <c r="P476">
        <v>9074.9699999999993</v>
      </c>
      <c r="Q476">
        <v>143109.95000000001</v>
      </c>
      <c r="R476" t="s">
        <v>28</v>
      </c>
      <c r="S476" s="1">
        <v>45513</v>
      </c>
    </row>
    <row r="477" spans="1:19" x14ac:dyDescent="0.25">
      <c r="A477" s="5" t="s">
        <v>991</v>
      </c>
      <c r="B477" s="5" t="s">
        <v>992</v>
      </c>
      <c r="C477" s="5" t="s">
        <v>21</v>
      </c>
      <c r="D477" s="5">
        <v>52</v>
      </c>
      <c r="E477" s="5" t="s">
        <v>32</v>
      </c>
      <c r="F477" s="5" t="s">
        <v>42</v>
      </c>
      <c r="G477" s="5" t="s">
        <v>24</v>
      </c>
      <c r="H477" s="5">
        <v>1065673</v>
      </c>
      <c r="I477">
        <v>556</v>
      </c>
      <c r="J477">
        <v>1112715</v>
      </c>
      <c r="K477">
        <v>84</v>
      </c>
      <c r="L477">
        <v>14.71</v>
      </c>
      <c r="M477" t="s">
        <v>43</v>
      </c>
      <c r="N477" t="s">
        <v>38</v>
      </c>
      <c r="O477" t="s">
        <v>39</v>
      </c>
      <c r="P477">
        <v>15195.18</v>
      </c>
      <c r="Q477">
        <v>192856.95999999999</v>
      </c>
      <c r="R477" t="s">
        <v>28</v>
      </c>
      <c r="S477" s="1">
        <v>45654</v>
      </c>
    </row>
    <row r="478" spans="1:19" x14ac:dyDescent="0.25">
      <c r="A478" s="5" t="s">
        <v>993</v>
      </c>
      <c r="B478" s="5" t="s">
        <v>994</v>
      </c>
      <c r="C478" s="5" t="s">
        <v>31</v>
      </c>
      <c r="D478" s="5">
        <v>35</v>
      </c>
      <c r="E478" s="5" t="s">
        <v>22</v>
      </c>
      <c r="F478" s="5" t="s">
        <v>42</v>
      </c>
      <c r="G478" s="5" t="s">
        <v>24</v>
      </c>
      <c r="H478" s="5">
        <v>1093476</v>
      </c>
      <c r="I478">
        <v>612</v>
      </c>
      <c r="J478">
        <v>621267</v>
      </c>
      <c r="K478">
        <v>24</v>
      </c>
      <c r="L478">
        <v>13.03</v>
      </c>
      <c r="M478" t="s">
        <v>5</v>
      </c>
      <c r="N478" t="s">
        <v>34</v>
      </c>
      <c r="O478" t="s">
        <v>39</v>
      </c>
      <c r="P478">
        <v>29259.09</v>
      </c>
      <c r="Q478">
        <v>453133.67</v>
      </c>
      <c r="R478" t="s">
        <v>28</v>
      </c>
      <c r="S478" s="1">
        <v>45668</v>
      </c>
    </row>
    <row r="479" spans="1:19" x14ac:dyDescent="0.25">
      <c r="A479" s="5" t="s">
        <v>995</v>
      </c>
      <c r="B479" s="5" t="s">
        <v>996</v>
      </c>
      <c r="C479" s="5" t="s">
        <v>31</v>
      </c>
      <c r="D479" s="5">
        <v>38</v>
      </c>
      <c r="E479" s="5" t="s">
        <v>22</v>
      </c>
      <c r="F479" s="5" t="s">
        <v>23</v>
      </c>
      <c r="G479" s="5" t="s">
        <v>33</v>
      </c>
      <c r="H479" s="5">
        <v>1700677</v>
      </c>
      <c r="I479">
        <v>813</v>
      </c>
      <c r="J479">
        <v>760431</v>
      </c>
      <c r="K479">
        <v>12</v>
      </c>
      <c r="L479">
        <v>12.44</v>
      </c>
      <c r="M479" t="s">
        <v>43</v>
      </c>
      <c r="N479" t="s">
        <v>104</v>
      </c>
      <c r="O479" t="s">
        <v>27</v>
      </c>
      <c r="P479">
        <v>71252.38</v>
      </c>
      <c r="Q479">
        <v>502679</v>
      </c>
      <c r="R479" t="s">
        <v>28</v>
      </c>
      <c r="S479" s="1">
        <v>45603</v>
      </c>
    </row>
    <row r="480" spans="1:19" x14ac:dyDescent="0.25">
      <c r="A480" s="5" t="s">
        <v>997</v>
      </c>
      <c r="B480" s="5" t="s">
        <v>998</v>
      </c>
      <c r="C480" s="5" t="s">
        <v>31</v>
      </c>
      <c r="D480" s="5">
        <v>51</v>
      </c>
      <c r="E480" s="5" t="s">
        <v>22</v>
      </c>
      <c r="F480" s="5" t="s">
        <v>23</v>
      </c>
      <c r="G480" s="5" t="s">
        <v>24</v>
      </c>
      <c r="H480" s="5">
        <v>454418</v>
      </c>
      <c r="I480">
        <v>686</v>
      </c>
      <c r="J480">
        <v>1969518</v>
      </c>
      <c r="K480">
        <v>180</v>
      </c>
      <c r="L480">
        <v>12.94</v>
      </c>
      <c r="M480" t="s">
        <v>54</v>
      </c>
      <c r="N480" t="s">
        <v>44</v>
      </c>
      <c r="O480" t="s">
        <v>27</v>
      </c>
      <c r="P480">
        <v>12357.63</v>
      </c>
      <c r="Q480">
        <v>1450430.12</v>
      </c>
      <c r="R480" t="s">
        <v>28</v>
      </c>
      <c r="S480" s="1">
        <v>45759</v>
      </c>
    </row>
    <row r="481" spans="1:19" x14ac:dyDescent="0.25">
      <c r="A481" s="5" t="s">
        <v>999</v>
      </c>
      <c r="B481" s="5" t="s">
        <v>1000</v>
      </c>
      <c r="C481" s="5" t="s">
        <v>21</v>
      </c>
      <c r="D481" s="5">
        <v>29</v>
      </c>
      <c r="E481" s="5" t="s">
        <v>22</v>
      </c>
      <c r="F481" s="5" t="s">
        <v>23</v>
      </c>
      <c r="G481" s="5" t="s">
        <v>24</v>
      </c>
      <c r="H481" s="5">
        <v>1291546</v>
      </c>
      <c r="I481">
        <v>555</v>
      </c>
      <c r="J481">
        <v>763031</v>
      </c>
      <c r="K481">
        <v>84</v>
      </c>
      <c r="L481">
        <v>10.64</v>
      </c>
      <c r="M481" t="s">
        <v>43</v>
      </c>
      <c r="N481" t="s">
        <v>38</v>
      </c>
      <c r="O481" t="s">
        <v>39</v>
      </c>
      <c r="P481">
        <v>10050.209999999999</v>
      </c>
      <c r="Q481">
        <v>493745.13</v>
      </c>
      <c r="R481" t="s">
        <v>28</v>
      </c>
      <c r="S481" s="1">
        <v>45783</v>
      </c>
    </row>
    <row r="482" spans="1:19" x14ac:dyDescent="0.25">
      <c r="A482" s="5" t="s">
        <v>1001</v>
      </c>
      <c r="B482" s="5" t="s">
        <v>1002</v>
      </c>
      <c r="C482" s="5" t="s">
        <v>31</v>
      </c>
      <c r="D482" s="5">
        <v>30</v>
      </c>
      <c r="E482" s="5" t="s">
        <v>32</v>
      </c>
      <c r="F482" s="5" t="s">
        <v>23</v>
      </c>
      <c r="G482" s="5" t="s">
        <v>33</v>
      </c>
      <c r="H482" s="5">
        <v>287952</v>
      </c>
      <c r="I482">
        <v>803</v>
      </c>
      <c r="J482">
        <v>1425633</v>
      </c>
      <c r="K482">
        <v>36</v>
      </c>
      <c r="L482">
        <v>10.51</v>
      </c>
      <c r="M482" t="s">
        <v>43</v>
      </c>
      <c r="N482" t="s">
        <v>44</v>
      </c>
      <c r="O482" t="s">
        <v>27</v>
      </c>
      <c r="P482">
        <v>43762.97</v>
      </c>
      <c r="Q482">
        <v>171864.79</v>
      </c>
      <c r="R482" t="s">
        <v>28</v>
      </c>
      <c r="S482" s="1">
        <v>45402</v>
      </c>
    </row>
    <row r="483" spans="1:19" x14ac:dyDescent="0.25">
      <c r="A483" s="5" t="s">
        <v>1003</v>
      </c>
      <c r="B483" s="5" t="s">
        <v>1004</v>
      </c>
      <c r="C483" s="5" t="s">
        <v>31</v>
      </c>
      <c r="D483" s="5">
        <v>38</v>
      </c>
      <c r="E483" s="5" t="s">
        <v>32</v>
      </c>
      <c r="F483" s="5" t="s">
        <v>23</v>
      </c>
      <c r="G483" s="5" t="s">
        <v>33</v>
      </c>
      <c r="H483" s="5">
        <v>468548</v>
      </c>
      <c r="I483">
        <v>689</v>
      </c>
      <c r="J483">
        <v>1394058</v>
      </c>
      <c r="K483">
        <v>24</v>
      </c>
      <c r="L483">
        <v>8</v>
      </c>
      <c r="M483" t="s">
        <v>5</v>
      </c>
      <c r="N483" t="s">
        <v>34</v>
      </c>
      <c r="O483" t="s">
        <v>27</v>
      </c>
      <c r="P483">
        <v>62732.61</v>
      </c>
      <c r="Q483">
        <v>529632.49</v>
      </c>
      <c r="R483" t="s">
        <v>28</v>
      </c>
      <c r="S483" s="1">
        <v>45984</v>
      </c>
    </row>
    <row r="484" spans="1:19" x14ac:dyDescent="0.25">
      <c r="A484" s="5" t="s">
        <v>1005</v>
      </c>
      <c r="B484" s="5" t="s">
        <v>1006</v>
      </c>
      <c r="C484" s="5" t="s">
        <v>21</v>
      </c>
      <c r="D484" s="5">
        <v>39</v>
      </c>
      <c r="E484" s="5" t="s">
        <v>22</v>
      </c>
      <c r="F484" s="5" t="s">
        <v>23</v>
      </c>
      <c r="G484" s="5" t="s">
        <v>24</v>
      </c>
      <c r="H484" s="5">
        <v>779846</v>
      </c>
      <c r="I484">
        <v>693</v>
      </c>
      <c r="J484">
        <v>382301</v>
      </c>
      <c r="K484">
        <v>240</v>
      </c>
      <c r="L484">
        <v>13.18</v>
      </c>
      <c r="M484" t="s">
        <v>25</v>
      </c>
      <c r="N484" t="s">
        <v>51</v>
      </c>
      <c r="O484" t="s">
        <v>27</v>
      </c>
      <c r="P484">
        <v>1802.87</v>
      </c>
      <c r="Q484">
        <v>103916.03</v>
      </c>
      <c r="R484" t="s">
        <v>28</v>
      </c>
      <c r="S484" s="1">
        <v>45300</v>
      </c>
    </row>
    <row r="485" spans="1:19" x14ac:dyDescent="0.25">
      <c r="A485" s="5" t="s">
        <v>1007</v>
      </c>
      <c r="B485" s="5" t="s">
        <v>1008</v>
      </c>
      <c r="C485" s="5" t="s">
        <v>21</v>
      </c>
      <c r="D485" s="5">
        <v>59</v>
      </c>
      <c r="E485" s="5" t="s">
        <v>32</v>
      </c>
      <c r="F485" s="5" t="s">
        <v>23</v>
      </c>
      <c r="G485" s="5" t="s">
        <v>24</v>
      </c>
      <c r="H485" s="5">
        <v>1159875</v>
      </c>
      <c r="I485">
        <v>750</v>
      </c>
      <c r="J485">
        <v>1582025</v>
      </c>
      <c r="K485">
        <v>180</v>
      </c>
      <c r="L485">
        <v>8.08</v>
      </c>
      <c r="M485" t="s">
        <v>43</v>
      </c>
      <c r="N485" t="s">
        <v>44</v>
      </c>
      <c r="O485" t="s">
        <v>27</v>
      </c>
      <c r="P485">
        <v>9499.18</v>
      </c>
      <c r="Q485">
        <v>1505752.36</v>
      </c>
      <c r="R485" t="s">
        <v>28</v>
      </c>
      <c r="S485" s="1">
        <v>45909</v>
      </c>
    </row>
    <row r="486" spans="1:19" x14ac:dyDescent="0.25">
      <c r="A486" s="5" t="s">
        <v>1009</v>
      </c>
      <c r="B486" s="5" t="s">
        <v>1010</v>
      </c>
      <c r="C486" s="5" t="s">
        <v>21</v>
      </c>
      <c r="D486" s="5">
        <v>54</v>
      </c>
      <c r="E486" s="5" t="s">
        <v>32</v>
      </c>
      <c r="F486" s="5" t="s">
        <v>23</v>
      </c>
      <c r="G486" s="5" t="s">
        <v>33</v>
      </c>
      <c r="H486" s="5">
        <v>480172</v>
      </c>
      <c r="I486">
        <v>558</v>
      </c>
      <c r="J486">
        <v>1481405</v>
      </c>
      <c r="K486">
        <v>84</v>
      </c>
      <c r="L486">
        <v>12.84</v>
      </c>
      <c r="M486" t="s">
        <v>43</v>
      </c>
      <c r="N486" t="s">
        <v>26</v>
      </c>
      <c r="O486" t="s">
        <v>39</v>
      </c>
      <c r="P486">
        <v>19900.21</v>
      </c>
      <c r="Q486">
        <v>395143</v>
      </c>
      <c r="R486" t="s">
        <v>28</v>
      </c>
      <c r="S486" s="1">
        <v>45518</v>
      </c>
    </row>
    <row r="487" spans="1:19" x14ac:dyDescent="0.25">
      <c r="A487" s="5" t="s">
        <v>1011</v>
      </c>
      <c r="B487" s="5" t="s">
        <v>1012</v>
      </c>
      <c r="C487" s="5" t="s">
        <v>21</v>
      </c>
      <c r="D487" s="5">
        <v>31</v>
      </c>
      <c r="E487" s="5" t="s">
        <v>22</v>
      </c>
      <c r="F487" s="5" t="s">
        <v>23</v>
      </c>
      <c r="G487" s="5" t="s">
        <v>24</v>
      </c>
      <c r="H487" s="5">
        <v>577512</v>
      </c>
      <c r="I487">
        <v>667</v>
      </c>
      <c r="J487">
        <v>1988397</v>
      </c>
      <c r="K487">
        <v>180</v>
      </c>
      <c r="L487">
        <v>10.68</v>
      </c>
      <c r="M487" t="s">
        <v>5</v>
      </c>
      <c r="N487" t="s">
        <v>104</v>
      </c>
      <c r="O487" t="s">
        <v>27</v>
      </c>
      <c r="P487">
        <v>12226.43</v>
      </c>
      <c r="Q487">
        <v>959232</v>
      </c>
      <c r="R487" t="s">
        <v>28</v>
      </c>
      <c r="S487" s="1">
        <v>45845</v>
      </c>
    </row>
    <row r="488" spans="1:19" x14ac:dyDescent="0.25">
      <c r="A488" s="5" t="s">
        <v>1013</v>
      </c>
      <c r="B488" s="5" t="s">
        <v>1014</v>
      </c>
      <c r="C488" s="5" t="s">
        <v>21</v>
      </c>
      <c r="D488" s="5">
        <v>58</v>
      </c>
      <c r="E488" s="5" t="s">
        <v>32</v>
      </c>
      <c r="F488" s="5" t="s">
        <v>23</v>
      </c>
      <c r="G488" s="5" t="s">
        <v>24</v>
      </c>
      <c r="H488" s="5">
        <v>280180</v>
      </c>
      <c r="I488">
        <v>806</v>
      </c>
      <c r="J488">
        <v>1114420</v>
      </c>
      <c r="K488">
        <v>84</v>
      </c>
      <c r="L488">
        <v>12.07</v>
      </c>
      <c r="M488" t="s">
        <v>43</v>
      </c>
      <c r="N488" t="s">
        <v>44</v>
      </c>
      <c r="O488" t="s">
        <v>39</v>
      </c>
      <c r="P488">
        <v>14868.22</v>
      </c>
      <c r="Q488">
        <v>802116.96</v>
      </c>
      <c r="R488" t="s">
        <v>28</v>
      </c>
      <c r="S488" s="1">
        <v>45442</v>
      </c>
    </row>
    <row r="489" spans="1:19" x14ac:dyDescent="0.25">
      <c r="A489" s="5" t="s">
        <v>1015</v>
      </c>
      <c r="B489" s="5" t="s">
        <v>1016</v>
      </c>
      <c r="C489" s="5" t="s">
        <v>21</v>
      </c>
      <c r="D489" s="5">
        <v>48</v>
      </c>
      <c r="E489" s="5" t="s">
        <v>22</v>
      </c>
      <c r="F489" s="5" t="s">
        <v>23</v>
      </c>
      <c r="G489" s="5" t="s">
        <v>24</v>
      </c>
      <c r="H489" s="5">
        <v>413570</v>
      </c>
      <c r="I489">
        <v>590</v>
      </c>
      <c r="J489">
        <v>346403</v>
      </c>
      <c r="K489">
        <v>24</v>
      </c>
      <c r="L489">
        <v>12.94</v>
      </c>
      <c r="M489" t="s">
        <v>57</v>
      </c>
      <c r="N489" t="s">
        <v>44</v>
      </c>
      <c r="O489" t="s">
        <v>39</v>
      </c>
      <c r="P489">
        <v>16301.15</v>
      </c>
      <c r="Q489">
        <v>258431.73</v>
      </c>
      <c r="R489" t="s">
        <v>28</v>
      </c>
      <c r="S489" s="1">
        <v>45798</v>
      </c>
    </row>
    <row r="490" spans="1:19" x14ac:dyDescent="0.25">
      <c r="A490" s="5" t="s">
        <v>1017</v>
      </c>
      <c r="B490" s="5" t="s">
        <v>1018</v>
      </c>
      <c r="C490" s="5" t="s">
        <v>31</v>
      </c>
      <c r="D490" s="5">
        <v>23</v>
      </c>
      <c r="E490" s="5" t="s">
        <v>22</v>
      </c>
      <c r="F490" s="5" t="s">
        <v>42</v>
      </c>
      <c r="G490" s="5" t="s">
        <v>33</v>
      </c>
      <c r="H490" s="5">
        <v>1010124</v>
      </c>
      <c r="I490">
        <v>678</v>
      </c>
      <c r="J490">
        <v>1180452</v>
      </c>
      <c r="K490">
        <v>24</v>
      </c>
      <c r="L490">
        <v>12.86</v>
      </c>
      <c r="M490" t="s">
        <v>43</v>
      </c>
      <c r="N490" t="s">
        <v>34</v>
      </c>
      <c r="O490" t="s">
        <v>27</v>
      </c>
      <c r="P490">
        <v>55510.76</v>
      </c>
      <c r="Q490">
        <v>590043.69999999995</v>
      </c>
      <c r="R490" t="s">
        <v>28</v>
      </c>
      <c r="S490" s="1">
        <v>45715</v>
      </c>
    </row>
    <row r="491" spans="1:19" x14ac:dyDescent="0.25">
      <c r="A491" s="5" t="s">
        <v>1019</v>
      </c>
      <c r="B491" s="5" t="s">
        <v>1020</v>
      </c>
      <c r="C491" s="5" t="s">
        <v>31</v>
      </c>
      <c r="D491" s="5">
        <v>35</v>
      </c>
      <c r="E491" s="5" t="s">
        <v>22</v>
      </c>
      <c r="F491" s="5" t="s">
        <v>42</v>
      </c>
      <c r="G491" s="5" t="s">
        <v>33</v>
      </c>
      <c r="H491" s="5">
        <v>415126</v>
      </c>
      <c r="I491">
        <v>723</v>
      </c>
      <c r="J491">
        <v>1027549</v>
      </c>
      <c r="K491">
        <v>84</v>
      </c>
      <c r="L491">
        <v>9.8699999999999992</v>
      </c>
      <c r="M491" t="s">
        <v>54</v>
      </c>
      <c r="N491" t="s">
        <v>51</v>
      </c>
      <c r="O491" t="s">
        <v>27</v>
      </c>
      <c r="P491">
        <v>13440.1</v>
      </c>
      <c r="Q491">
        <v>246054.12</v>
      </c>
      <c r="R491" t="s">
        <v>28</v>
      </c>
      <c r="S491" s="1">
        <v>45905</v>
      </c>
    </row>
    <row r="492" spans="1:19" x14ac:dyDescent="0.25">
      <c r="A492" s="5" t="s">
        <v>1021</v>
      </c>
      <c r="B492" s="5" t="s">
        <v>1022</v>
      </c>
      <c r="C492" s="5" t="s">
        <v>21</v>
      </c>
      <c r="D492" s="5">
        <v>44</v>
      </c>
      <c r="E492" s="5" t="s">
        <v>32</v>
      </c>
      <c r="F492" s="5" t="s">
        <v>42</v>
      </c>
      <c r="G492" s="5" t="s">
        <v>24</v>
      </c>
      <c r="H492" s="5">
        <v>1884055</v>
      </c>
      <c r="I492">
        <v>649</v>
      </c>
      <c r="J492">
        <v>812587</v>
      </c>
      <c r="K492">
        <v>60</v>
      </c>
      <c r="L492">
        <v>9.9600000000000009</v>
      </c>
      <c r="M492" t="s">
        <v>54</v>
      </c>
      <c r="N492" t="s">
        <v>26</v>
      </c>
      <c r="O492" t="s">
        <v>27</v>
      </c>
      <c r="P492">
        <v>14892.01</v>
      </c>
      <c r="Q492">
        <v>783927.43</v>
      </c>
      <c r="R492" t="s">
        <v>28</v>
      </c>
      <c r="S492" s="1">
        <v>45419</v>
      </c>
    </row>
    <row r="493" spans="1:19" x14ac:dyDescent="0.25">
      <c r="A493" s="5" t="s">
        <v>1023</v>
      </c>
      <c r="B493" s="5" t="s">
        <v>1024</v>
      </c>
      <c r="C493" s="5" t="s">
        <v>31</v>
      </c>
      <c r="D493" s="5">
        <v>45</v>
      </c>
      <c r="E493" s="5" t="s">
        <v>22</v>
      </c>
      <c r="F493" s="5" t="s">
        <v>42</v>
      </c>
      <c r="G493" s="5" t="s">
        <v>24</v>
      </c>
      <c r="H493" s="5">
        <v>1911483</v>
      </c>
      <c r="I493">
        <v>764</v>
      </c>
      <c r="J493">
        <v>1780534</v>
      </c>
      <c r="K493">
        <v>12</v>
      </c>
      <c r="L493">
        <v>8.92</v>
      </c>
      <c r="M493" t="s">
        <v>57</v>
      </c>
      <c r="N493" t="s">
        <v>34</v>
      </c>
      <c r="O493" t="s">
        <v>27</v>
      </c>
      <c r="P493">
        <v>161613.14000000001</v>
      </c>
      <c r="Q493">
        <v>1126051.32</v>
      </c>
      <c r="R493" t="s">
        <v>28</v>
      </c>
      <c r="S493" s="1">
        <v>45589</v>
      </c>
    </row>
    <row r="494" spans="1:19" x14ac:dyDescent="0.25">
      <c r="A494" s="5" t="s">
        <v>1025</v>
      </c>
      <c r="B494" s="5" t="s">
        <v>1026</v>
      </c>
      <c r="C494" s="5" t="s">
        <v>31</v>
      </c>
      <c r="D494" s="5">
        <v>44</v>
      </c>
      <c r="E494" s="5" t="s">
        <v>22</v>
      </c>
      <c r="F494" s="5" t="s">
        <v>42</v>
      </c>
      <c r="G494" s="5" t="s">
        <v>24</v>
      </c>
      <c r="H494" s="5">
        <v>1081957</v>
      </c>
      <c r="I494">
        <v>728</v>
      </c>
      <c r="J494">
        <v>1551095</v>
      </c>
      <c r="K494">
        <v>240</v>
      </c>
      <c r="L494">
        <v>14.57</v>
      </c>
      <c r="M494" t="s">
        <v>5</v>
      </c>
      <c r="N494" t="s">
        <v>51</v>
      </c>
      <c r="O494" t="s">
        <v>27</v>
      </c>
      <c r="P494">
        <v>7404.54</v>
      </c>
      <c r="Q494">
        <v>369246.49</v>
      </c>
      <c r="R494" t="s">
        <v>28</v>
      </c>
      <c r="S494" s="1">
        <v>45332</v>
      </c>
    </row>
    <row r="495" spans="1:19" x14ac:dyDescent="0.25">
      <c r="A495" s="5" t="s">
        <v>1027</v>
      </c>
      <c r="B495" s="5" t="s">
        <v>1028</v>
      </c>
      <c r="C495" s="5" t="s">
        <v>21</v>
      </c>
      <c r="D495" s="5">
        <v>59</v>
      </c>
      <c r="E495" s="5" t="s">
        <v>22</v>
      </c>
      <c r="F495" s="5" t="s">
        <v>23</v>
      </c>
      <c r="G495" s="5" t="s">
        <v>24</v>
      </c>
      <c r="H495" s="5">
        <v>1056750</v>
      </c>
      <c r="I495">
        <v>739</v>
      </c>
      <c r="J495">
        <v>1948813</v>
      </c>
      <c r="K495">
        <v>60</v>
      </c>
      <c r="L495">
        <v>11.16</v>
      </c>
      <c r="M495" t="s">
        <v>54</v>
      </c>
      <c r="N495" t="s">
        <v>51</v>
      </c>
      <c r="O495" t="s">
        <v>27</v>
      </c>
      <c r="P495">
        <v>36105.01</v>
      </c>
      <c r="Q495">
        <v>1055887.6000000001</v>
      </c>
      <c r="R495" t="s">
        <v>28</v>
      </c>
      <c r="S495" s="1">
        <v>45315</v>
      </c>
    </row>
    <row r="496" spans="1:19" x14ac:dyDescent="0.25">
      <c r="A496" s="5" t="s">
        <v>1029</v>
      </c>
      <c r="B496" s="5" t="s">
        <v>1030</v>
      </c>
      <c r="C496" s="5" t="s">
        <v>21</v>
      </c>
      <c r="D496" s="5">
        <v>31</v>
      </c>
      <c r="E496" s="5" t="s">
        <v>22</v>
      </c>
      <c r="F496" s="5" t="s">
        <v>23</v>
      </c>
      <c r="G496" s="5" t="s">
        <v>33</v>
      </c>
      <c r="H496" s="5">
        <v>367092</v>
      </c>
      <c r="I496">
        <v>823</v>
      </c>
      <c r="J496">
        <v>1247882</v>
      </c>
      <c r="K496">
        <v>180</v>
      </c>
      <c r="L496">
        <v>14.08</v>
      </c>
      <c r="M496" t="s">
        <v>57</v>
      </c>
      <c r="N496" t="s">
        <v>44</v>
      </c>
      <c r="O496" t="s">
        <v>39</v>
      </c>
      <c r="P496">
        <v>7908.8</v>
      </c>
      <c r="Q496">
        <v>508624.94</v>
      </c>
      <c r="R496" t="s">
        <v>28</v>
      </c>
      <c r="S496" s="1">
        <v>45713</v>
      </c>
    </row>
    <row r="497" spans="1:19" x14ac:dyDescent="0.25">
      <c r="A497" s="5" t="s">
        <v>1031</v>
      </c>
      <c r="B497" s="5" t="s">
        <v>1032</v>
      </c>
      <c r="C497" s="5" t="s">
        <v>31</v>
      </c>
      <c r="D497" s="5">
        <v>30</v>
      </c>
      <c r="E497" s="5" t="s">
        <v>22</v>
      </c>
      <c r="F497" s="5" t="s">
        <v>23</v>
      </c>
      <c r="G497" s="5" t="s">
        <v>24</v>
      </c>
      <c r="H497" s="5">
        <v>1966057</v>
      </c>
      <c r="I497">
        <v>846</v>
      </c>
      <c r="J497">
        <v>1930156</v>
      </c>
      <c r="K497">
        <v>60</v>
      </c>
      <c r="L497">
        <v>7.88</v>
      </c>
      <c r="M497" t="s">
        <v>54</v>
      </c>
      <c r="N497" t="s">
        <v>104</v>
      </c>
      <c r="O497" t="s">
        <v>27</v>
      </c>
      <c r="P497">
        <v>34704.199999999997</v>
      </c>
      <c r="Q497">
        <v>742409.81</v>
      </c>
      <c r="R497" t="s">
        <v>28</v>
      </c>
      <c r="S497" s="1">
        <v>45810</v>
      </c>
    </row>
    <row r="498" spans="1:19" x14ac:dyDescent="0.25">
      <c r="A498" s="5" t="s">
        <v>1033</v>
      </c>
      <c r="B498" s="5" t="s">
        <v>1034</v>
      </c>
      <c r="C498" s="5" t="s">
        <v>21</v>
      </c>
      <c r="D498" s="5">
        <v>59</v>
      </c>
      <c r="E498" s="5" t="s">
        <v>32</v>
      </c>
      <c r="F498" s="5" t="s">
        <v>42</v>
      </c>
      <c r="G498" s="5" t="s">
        <v>33</v>
      </c>
      <c r="H498" s="5">
        <v>1250376</v>
      </c>
      <c r="I498">
        <v>574</v>
      </c>
      <c r="J498">
        <v>1543264</v>
      </c>
      <c r="K498">
        <v>24</v>
      </c>
      <c r="L498">
        <v>10.49</v>
      </c>
      <c r="M498" t="s">
        <v>25</v>
      </c>
      <c r="N498" t="s">
        <v>104</v>
      </c>
      <c r="O498" t="s">
        <v>27</v>
      </c>
      <c r="P498">
        <v>71048.02</v>
      </c>
      <c r="Q498">
        <v>1373965.81</v>
      </c>
      <c r="R498" t="s">
        <v>35</v>
      </c>
      <c r="S498" s="1">
        <v>45452</v>
      </c>
    </row>
    <row r="499" spans="1:19" x14ac:dyDescent="0.25">
      <c r="A499" s="5" t="s">
        <v>1035</v>
      </c>
      <c r="B499" s="5" t="s">
        <v>1036</v>
      </c>
      <c r="C499" s="5" t="s">
        <v>31</v>
      </c>
      <c r="D499" s="5">
        <v>45</v>
      </c>
      <c r="E499" s="5" t="s">
        <v>22</v>
      </c>
      <c r="F499" s="5" t="s">
        <v>23</v>
      </c>
      <c r="G499" s="5" t="s">
        <v>24</v>
      </c>
      <c r="H499" s="5">
        <v>749987</v>
      </c>
      <c r="I499">
        <v>738</v>
      </c>
      <c r="J499">
        <v>1175906</v>
      </c>
      <c r="K499">
        <v>84</v>
      </c>
      <c r="L499">
        <v>14.1</v>
      </c>
      <c r="M499" t="s">
        <v>25</v>
      </c>
      <c r="N499" t="s">
        <v>26</v>
      </c>
      <c r="O499" t="s">
        <v>27</v>
      </c>
      <c r="P499">
        <v>15972.72</v>
      </c>
      <c r="Q499">
        <v>692292.61</v>
      </c>
      <c r="R499" t="s">
        <v>28</v>
      </c>
      <c r="S499" s="1">
        <v>45646</v>
      </c>
    </row>
    <row r="500" spans="1:19" x14ac:dyDescent="0.25">
      <c r="A500" s="5" t="s">
        <v>1037</v>
      </c>
      <c r="B500" s="5" t="s">
        <v>1038</v>
      </c>
      <c r="C500" s="5" t="s">
        <v>31</v>
      </c>
      <c r="D500" s="5">
        <v>51</v>
      </c>
      <c r="E500" s="5" t="s">
        <v>22</v>
      </c>
      <c r="F500" s="5" t="s">
        <v>42</v>
      </c>
      <c r="G500" s="5" t="s">
        <v>33</v>
      </c>
      <c r="H500" s="5">
        <v>627509</v>
      </c>
      <c r="I500">
        <v>650</v>
      </c>
      <c r="J500">
        <v>1762548</v>
      </c>
      <c r="K500">
        <v>120</v>
      </c>
      <c r="L500">
        <v>12.39</v>
      </c>
      <c r="M500" t="s">
        <v>25</v>
      </c>
      <c r="N500" t="s">
        <v>104</v>
      </c>
      <c r="O500" t="s">
        <v>27</v>
      </c>
      <c r="P500">
        <v>16507.73</v>
      </c>
      <c r="Q500">
        <v>906773.51</v>
      </c>
      <c r="R500" t="s">
        <v>28</v>
      </c>
      <c r="S500" s="1">
        <v>45597</v>
      </c>
    </row>
    <row r="501" spans="1:19" x14ac:dyDescent="0.25">
      <c r="A501" s="5" t="s">
        <v>1039</v>
      </c>
      <c r="B501" s="5" t="s">
        <v>1040</v>
      </c>
      <c r="C501" s="5" t="s">
        <v>31</v>
      </c>
      <c r="D501" s="5">
        <v>54</v>
      </c>
      <c r="E501" s="5" t="s">
        <v>22</v>
      </c>
      <c r="F501" s="5" t="s">
        <v>23</v>
      </c>
      <c r="G501" s="5" t="s">
        <v>33</v>
      </c>
      <c r="H501" s="5">
        <v>1998961</v>
      </c>
      <c r="I501">
        <v>845</v>
      </c>
      <c r="J501">
        <v>827786</v>
      </c>
      <c r="K501">
        <v>120</v>
      </c>
      <c r="L501">
        <v>7.96</v>
      </c>
      <c r="M501" t="s">
        <v>5</v>
      </c>
      <c r="N501" t="s">
        <v>44</v>
      </c>
      <c r="O501" t="s">
        <v>27</v>
      </c>
      <c r="P501">
        <v>7447.31</v>
      </c>
      <c r="Q501">
        <v>806372.39</v>
      </c>
      <c r="R501" t="s">
        <v>28</v>
      </c>
      <c r="S501" s="1">
        <v>45299</v>
      </c>
    </row>
    <row r="502" spans="1:19" x14ac:dyDescent="0.25">
      <c r="A502" s="5" t="s">
        <v>1041</v>
      </c>
      <c r="B502" s="5" t="s">
        <v>1042</v>
      </c>
      <c r="C502" s="5" t="s">
        <v>31</v>
      </c>
      <c r="D502" s="5">
        <v>40</v>
      </c>
      <c r="E502" s="5" t="s">
        <v>22</v>
      </c>
      <c r="F502" s="5" t="s">
        <v>42</v>
      </c>
      <c r="G502" s="5" t="s">
        <v>33</v>
      </c>
      <c r="H502" s="5">
        <v>1680341</v>
      </c>
      <c r="I502">
        <v>697</v>
      </c>
      <c r="J502">
        <v>513293</v>
      </c>
      <c r="K502">
        <v>36</v>
      </c>
      <c r="L502">
        <v>13.74</v>
      </c>
      <c r="M502" t="s">
        <v>25</v>
      </c>
      <c r="N502" t="s">
        <v>34</v>
      </c>
      <c r="O502" t="s">
        <v>27</v>
      </c>
      <c r="P502">
        <v>16217.21</v>
      </c>
      <c r="Q502">
        <v>181484.39</v>
      </c>
      <c r="R502" t="s">
        <v>28</v>
      </c>
      <c r="S502" s="1">
        <v>45885</v>
      </c>
    </row>
    <row r="503" spans="1:19" x14ac:dyDescent="0.25">
      <c r="A503" s="5" t="s">
        <v>1043</v>
      </c>
      <c r="B503" s="5" t="s">
        <v>1044</v>
      </c>
      <c r="C503" s="5" t="s">
        <v>21</v>
      </c>
      <c r="D503" s="5">
        <v>29</v>
      </c>
      <c r="E503" s="5" t="s">
        <v>22</v>
      </c>
      <c r="F503" s="5" t="s">
        <v>42</v>
      </c>
      <c r="G503" s="5" t="s">
        <v>24</v>
      </c>
      <c r="H503" s="5">
        <v>1019785</v>
      </c>
      <c r="I503">
        <v>726</v>
      </c>
      <c r="J503">
        <v>1490187</v>
      </c>
      <c r="K503">
        <v>24</v>
      </c>
      <c r="L503">
        <v>13.61</v>
      </c>
      <c r="M503" t="s">
        <v>57</v>
      </c>
      <c r="N503" t="s">
        <v>104</v>
      </c>
      <c r="O503" t="s">
        <v>27</v>
      </c>
      <c r="P503">
        <v>70541.73</v>
      </c>
      <c r="Q503">
        <v>1289536.06</v>
      </c>
      <c r="R503" t="s">
        <v>28</v>
      </c>
      <c r="S503" s="1">
        <v>45447</v>
      </c>
    </row>
    <row r="504" spans="1:19" x14ac:dyDescent="0.25">
      <c r="A504" s="5" t="s">
        <v>1045</v>
      </c>
      <c r="B504" s="5" t="s">
        <v>1046</v>
      </c>
      <c r="C504" s="5" t="s">
        <v>21</v>
      </c>
      <c r="D504" s="5">
        <v>28</v>
      </c>
      <c r="E504" s="5" t="s">
        <v>22</v>
      </c>
      <c r="F504" s="5" t="s">
        <v>42</v>
      </c>
      <c r="G504" s="5" t="s">
        <v>33</v>
      </c>
      <c r="H504" s="5">
        <v>1197560</v>
      </c>
      <c r="I504">
        <v>551</v>
      </c>
      <c r="J504">
        <v>1587649</v>
      </c>
      <c r="K504">
        <v>12</v>
      </c>
      <c r="L504">
        <v>11.65</v>
      </c>
      <c r="M504" t="s">
        <v>5</v>
      </c>
      <c r="N504" t="s">
        <v>44</v>
      </c>
      <c r="O504" t="s">
        <v>27</v>
      </c>
      <c r="P504">
        <v>147717.51</v>
      </c>
      <c r="Q504">
        <v>1179219.3799999999</v>
      </c>
      <c r="R504" t="s">
        <v>28</v>
      </c>
      <c r="S504" s="1">
        <v>45339</v>
      </c>
    </row>
    <row r="505" spans="1:19" x14ac:dyDescent="0.25">
      <c r="A505" s="5" t="s">
        <v>1047</v>
      </c>
      <c r="B505" s="5" t="s">
        <v>1048</v>
      </c>
      <c r="C505" s="5" t="s">
        <v>31</v>
      </c>
      <c r="D505" s="5">
        <v>41</v>
      </c>
      <c r="E505" s="5" t="s">
        <v>22</v>
      </c>
      <c r="F505" s="5" t="s">
        <v>42</v>
      </c>
      <c r="G505" s="5" t="s">
        <v>24</v>
      </c>
      <c r="H505" s="5">
        <v>980137</v>
      </c>
      <c r="I505">
        <v>620</v>
      </c>
      <c r="J505">
        <v>969915</v>
      </c>
      <c r="K505">
        <v>84</v>
      </c>
      <c r="L505">
        <v>14.71</v>
      </c>
      <c r="M505" t="s">
        <v>5</v>
      </c>
      <c r="N505" t="s">
        <v>44</v>
      </c>
      <c r="O505" t="s">
        <v>39</v>
      </c>
      <c r="P505">
        <v>13245.11</v>
      </c>
      <c r="Q505">
        <v>336174</v>
      </c>
      <c r="R505" t="s">
        <v>28</v>
      </c>
      <c r="S505" s="1">
        <v>45995</v>
      </c>
    </row>
    <row r="506" spans="1:19" x14ac:dyDescent="0.25">
      <c r="A506" s="5" t="s">
        <v>1049</v>
      </c>
      <c r="B506" s="5" t="s">
        <v>1050</v>
      </c>
      <c r="C506" s="5" t="s">
        <v>21</v>
      </c>
      <c r="D506" s="5">
        <v>34</v>
      </c>
      <c r="E506" s="5" t="s">
        <v>22</v>
      </c>
      <c r="F506" s="5" t="s">
        <v>23</v>
      </c>
      <c r="G506" s="5" t="s">
        <v>24</v>
      </c>
      <c r="H506" s="5">
        <v>916318</v>
      </c>
      <c r="I506">
        <v>655</v>
      </c>
      <c r="J506">
        <v>1572661</v>
      </c>
      <c r="K506">
        <v>120</v>
      </c>
      <c r="L506">
        <v>14.6</v>
      </c>
      <c r="M506" t="s">
        <v>5</v>
      </c>
      <c r="N506" t="s">
        <v>38</v>
      </c>
      <c r="O506" t="s">
        <v>27</v>
      </c>
      <c r="P506">
        <v>15018.91</v>
      </c>
      <c r="Q506">
        <v>1287377.44</v>
      </c>
      <c r="R506" t="s">
        <v>28</v>
      </c>
      <c r="S506" s="1">
        <v>45367</v>
      </c>
    </row>
    <row r="507" spans="1:19" x14ac:dyDescent="0.25">
      <c r="A507" s="5" t="s">
        <v>1051</v>
      </c>
      <c r="B507" s="5" t="s">
        <v>1052</v>
      </c>
      <c r="C507" s="5" t="s">
        <v>21</v>
      </c>
      <c r="D507" s="5">
        <v>58</v>
      </c>
      <c r="E507" s="5" t="s">
        <v>32</v>
      </c>
      <c r="F507" s="5" t="s">
        <v>23</v>
      </c>
      <c r="G507" s="5" t="s">
        <v>24</v>
      </c>
      <c r="H507" s="5">
        <v>1522249</v>
      </c>
      <c r="I507">
        <v>738</v>
      </c>
      <c r="J507">
        <v>1940430</v>
      </c>
      <c r="K507">
        <v>60</v>
      </c>
      <c r="L507">
        <v>13.89</v>
      </c>
      <c r="M507" t="s">
        <v>57</v>
      </c>
      <c r="N507" t="s">
        <v>34</v>
      </c>
      <c r="O507" t="s">
        <v>27</v>
      </c>
      <c r="P507">
        <v>36832.6</v>
      </c>
      <c r="Q507">
        <v>1569317.01</v>
      </c>
      <c r="R507" t="s">
        <v>28</v>
      </c>
      <c r="S507" s="1">
        <v>45761</v>
      </c>
    </row>
    <row r="508" spans="1:19" x14ac:dyDescent="0.25">
      <c r="A508" s="5" t="s">
        <v>1053</v>
      </c>
      <c r="B508" s="5" t="s">
        <v>1054</v>
      </c>
      <c r="C508" s="5" t="s">
        <v>31</v>
      </c>
      <c r="D508" s="5">
        <v>41</v>
      </c>
      <c r="E508" s="5" t="s">
        <v>32</v>
      </c>
      <c r="F508" s="5" t="s">
        <v>23</v>
      </c>
      <c r="G508" s="5" t="s">
        <v>33</v>
      </c>
      <c r="H508" s="5">
        <v>1137444</v>
      </c>
      <c r="I508">
        <v>605</v>
      </c>
      <c r="J508">
        <v>1386354</v>
      </c>
      <c r="K508">
        <v>180</v>
      </c>
      <c r="L508">
        <v>11.6</v>
      </c>
      <c r="M508" t="s">
        <v>54</v>
      </c>
      <c r="N508" t="s">
        <v>51</v>
      </c>
      <c r="O508" t="s">
        <v>27</v>
      </c>
      <c r="P508">
        <v>8595.39</v>
      </c>
      <c r="Q508">
        <v>629680.18000000005</v>
      </c>
      <c r="R508" t="s">
        <v>28</v>
      </c>
      <c r="S508" s="1">
        <v>45434</v>
      </c>
    </row>
    <row r="509" spans="1:19" x14ac:dyDescent="0.25">
      <c r="A509" s="5" t="s">
        <v>1055</v>
      </c>
      <c r="B509" s="5" t="s">
        <v>1056</v>
      </c>
      <c r="C509" s="5" t="s">
        <v>21</v>
      </c>
      <c r="D509" s="5">
        <v>51</v>
      </c>
      <c r="E509" s="5" t="s">
        <v>22</v>
      </c>
      <c r="F509" s="5" t="s">
        <v>42</v>
      </c>
      <c r="G509" s="5" t="s">
        <v>24</v>
      </c>
      <c r="H509" s="5">
        <v>1887736</v>
      </c>
      <c r="I509">
        <v>762</v>
      </c>
      <c r="J509">
        <v>1873583</v>
      </c>
      <c r="K509">
        <v>180</v>
      </c>
      <c r="L509">
        <v>10.7</v>
      </c>
      <c r="M509" t="s">
        <v>5</v>
      </c>
      <c r="N509" t="s">
        <v>44</v>
      </c>
      <c r="O509" t="s">
        <v>27</v>
      </c>
      <c r="P509">
        <v>11522.54</v>
      </c>
      <c r="Q509">
        <v>1830888.57</v>
      </c>
      <c r="R509" t="s">
        <v>28</v>
      </c>
      <c r="S509" s="1">
        <v>46010</v>
      </c>
    </row>
    <row r="510" spans="1:19" x14ac:dyDescent="0.25">
      <c r="A510" s="5" t="s">
        <v>1057</v>
      </c>
      <c r="B510" s="5" t="s">
        <v>1058</v>
      </c>
      <c r="C510" s="5" t="s">
        <v>31</v>
      </c>
      <c r="D510" s="5">
        <v>60</v>
      </c>
      <c r="E510" s="5" t="s">
        <v>32</v>
      </c>
      <c r="F510" s="5" t="s">
        <v>42</v>
      </c>
      <c r="G510" s="5" t="s">
        <v>24</v>
      </c>
      <c r="H510" s="5">
        <v>576050</v>
      </c>
      <c r="I510">
        <v>714</v>
      </c>
      <c r="J510">
        <v>830681</v>
      </c>
      <c r="K510">
        <v>48</v>
      </c>
      <c r="L510">
        <v>12.03</v>
      </c>
      <c r="M510" t="s">
        <v>57</v>
      </c>
      <c r="N510" t="s">
        <v>51</v>
      </c>
      <c r="O510" t="s">
        <v>27</v>
      </c>
      <c r="P510">
        <v>19387.75</v>
      </c>
      <c r="Q510">
        <v>473075.51</v>
      </c>
      <c r="R510" t="s">
        <v>28</v>
      </c>
      <c r="S510" s="1">
        <v>45343</v>
      </c>
    </row>
    <row r="511" spans="1:19" x14ac:dyDescent="0.25">
      <c r="A511" s="5" t="s">
        <v>1059</v>
      </c>
      <c r="B511" s="5" t="s">
        <v>1060</v>
      </c>
      <c r="C511" s="5" t="s">
        <v>31</v>
      </c>
      <c r="D511" s="5">
        <v>43</v>
      </c>
      <c r="E511" s="5" t="s">
        <v>32</v>
      </c>
      <c r="F511" s="5" t="s">
        <v>42</v>
      </c>
      <c r="G511" s="5" t="s">
        <v>33</v>
      </c>
      <c r="H511" s="5">
        <v>1655375</v>
      </c>
      <c r="I511">
        <v>669</v>
      </c>
      <c r="J511">
        <v>1050031</v>
      </c>
      <c r="K511">
        <v>240</v>
      </c>
      <c r="L511">
        <v>9.6199999999999992</v>
      </c>
      <c r="M511" t="s">
        <v>57</v>
      </c>
      <c r="N511" t="s">
        <v>51</v>
      </c>
      <c r="O511" t="s">
        <v>27</v>
      </c>
      <c r="P511">
        <v>4796.0200000000004</v>
      </c>
      <c r="Q511">
        <v>278346.90999999997</v>
      </c>
      <c r="R511" t="s">
        <v>28</v>
      </c>
      <c r="S511" s="1">
        <v>45557</v>
      </c>
    </row>
    <row r="512" spans="1:19" x14ac:dyDescent="0.25">
      <c r="A512" s="5" t="s">
        <v>1061</v>
      </c>
      <c r="B512" s="5" t="s">
        <v>1062</v>
      </c>
      <c r="C512" s="5" t="s">
        <v>31</v>
      </c>
      <c r="D512" s="5">
        <v>42</v>
      </c>
      <c r="E512" s="5" t="s">
        <v>22</v>
      </c>
      <c r="F512" s="5" t="s">
        <v>23</v>
      </c>
      <c r="G512" s="5" t="s">
        <v>33</v>
      </c>
      <c r="H512" s="5">
        <v>1344464</v>
      </c>
      <c r="I512">
        <v>596</v>
      </c>
      <c r="J512">
        <v>1041750</v>
      </c>
      <c r="K512">
        <v>240</v>
      </c>
      <c r="L512">
        <v>12.34</v>
      </c>
      <c r="M512" t="s">
        <v>54</v>
      </c>
      <c r="N512" t="s">
        <v>51</v>
      </c>
      <c r="O512" t="s">
        <v>27</v>
      </c>
      <c r="P512">
        <v>4876.26</v>
      </c>
      <c r="Q512">
        <v>236216.95999999999</v>
      </c>
      <c r="R512" t="s">
        <v>35</v>
      </c>
      <c r="S512" s="1">
        <v>45347</v>
      </c>
    </row>
    <row r="513" spans="1:19" x14ac:dyDescent="0.25">
      <c r="A513" s="5" t="s">
        <v>1063</v>
      </c>
      <c r="B513" s="5" t="s">
        <v>1064</v>
      </c>
      <c r="C513" s="5" t="s">
        <v>21</v>
      </c>
      <c r="D513" s="5">
        <v>38</v>
      </c>
      <c r="E513" s="5" t="s">
        <v>32</v>
      </c>
      <c r="F513" s="5" t="s">
        <v>23</v>
      </c>
      <c r="G513" s="5" t="s">
        <v>33</v>
      </c>
      <c r="H513" s="5">
        <v>972367</v>
      </c>
      <c r="I513">
        <v>589</v>
      </c>
      <c r="J513">
        <v>1017210</v>
      </c>
      <c r="K513">
        <v>60</v>
      </c>
      <c r="L513">
        <v>8.1300000000000008</v>
      </c>
      <c r="M513" t="s">
        <v>25</v>
      </c>
      <c r="N513" t="s">
        <v>34</v>
      </c>
      <c r="O513" t="s">
        <v>27</v>
      </c>
      <c r="P513">
        <v>18331.82</v>
      </c>
      <c r="Q513">
        <v>370888.99</v>
      </c>
      <c r="R513" t="s">
        <v>28</v>
      </c>
      <c r="S513" s="1">
        <v>45685</v>
      </c>
    </row>
    <row r="514" spans="1:19" x14ac:dyDescent="0.25">
      <c r="A514" s="5" t="s">
        <v>1065</v>
      </c>
      <c r="B514" s="5" t="s">
        <v>1066</v>
      </c>
      <c r="C514" s="5" t="s">
        <v>31</v>
      </c>
      <c r="D514" s="5">
        <v>59</v>
      </c>
      <c r="E514" s="5" t="s">
        <v>22</v>
      </c>
      <c r="F514" s="5" t="s">
        <v>23</v>
      </c>
      <c r="G514" s="5" t="s">
        <v>24</v>
      </c>
      <c r="H514" s="5">
        <v>1811767</v>
      </c>
      <c r="I514">
        <v>816</v>
      </c>
      <c r="J514">
        <v>202718</v>
      </c>
      <c r="K514">
        <v>180</v>
      </c>
      <c r="L514">
        <v>13.37</v>
      </c>
      <c r="M514" t="s">
        <v>25</v>
      </c>
      <c r="N514" t="s">
        <v>34</v>
      </c>
      <c r="O514" t="s">
        <v>27</v>
      </c>
      <c r="P514">
        <v>1276.79</v>
      </c>
      <c r="Q514">
        <v>82795.16</v>
      </c>
      <c r="R514" t="s">
        <v>28</v>
      </c>
      <c r="S514" s="1">
        <v>45504</v>
      </c>
    </row>
    <row r="515" spans="1:19" x14ac:dyDescent="0.25">
      <c r="A515" s="5" t="s">
        <v>1067</v>
      </c>
      <c r="B515" s="5" t="s">
        <v>1068</v>
      </c>
      <c r="C515" s="5" t="s">
        <v>21</v>
      </c>
      <c r="D515" s="5">
        <v>60</v>
      </c>
      <c r="E515" s="5" t="s">
        <v>22</v>
      </c>
      <c r="F515" s="5" t="s">
        <v>42</v>
      </c>
      <c r="G515" s="5" t="s">
        <v>33</v>
      </c>
      <c r="H515" s="5">
        <v>573989</v>
      </c>
      <c r="I515">
        <v>698</v>
      </c>
      <c r="J515">
        <v>370599</v>
      </c>
      <c r="K515">
        <v>48</v>
      </c>
      <c r="L515">
        <v>14.3</v>
      </c>
      <c r="M515" t="s">
        <v>25</v>
      </c>
      <c r="N515" t="s">
        <v>34</v>
      </c>
      <c r="O515" t="s">
        <v>27</v>
      </c>
      <c r="P515">
        <v>8824.89</v>
      </c>
      <c r="Q515">
        <v>161659.28</v>
      </c>
      <c r="R515" t="s">
        <v>28</v>
      </c>
      <c r="S515" s="1">
        <v>45806</v>
      </c>
    </row>
    <row r="516" spans="1:19" x14ac:dyDescent="0.25">
      <c r="A516" s="5" t="s">
        <v>1069</v>
      </c>
      <c r="B516" s="5" t="s">
        <v>1070</v>
      </c>
      <c r="C516" s="5" t="s">
        <v>21</v>
      </c>
      <c r="D516" s="5">
        <v>37</v>
      </c>
      <c r="E516" s="5" t="s">
        <v>22</v>
      </c>
      <c r="F516" s="5" t="s">
        <v>23</v>
      </c>
      <c r="G516" s="5" t="s">
        <v>33</v>
      </c>
      <c r="H516" s="5">
        <v>531080</v>
      </c>
      <c r="I516">
        <v>826</v>
      </c>
      <c r="J516">
        <v>1063764</v>
      </c>
      <c r="K516">
        <v>12</v>
      </c>
      <c r="L516">
        <v>8.56</v>
      </c>
      <c r="M516" t="s">
        <v>57</v>
      </c>
      <c r="N516" t="s">
        <v>44</v>
      </c>
      <c r="O516" t="s">
        <v>27</v>
      </c>
      <c r="P516">
        <v>96235.18</v>
      </c>
      <c r="Q516">
        <v>163231.67000000001</v>
      </c>
      <c r="R516" t="s">
        <v>28</v>
      </c>
      <c r="S516" s="1">
        <v>45841</v>
      </c>
    </row>
    <row r="517" spans="1:19" x14ac:dyDescent="0.25">
      <c r="A517" s="5" t="s">
        <v>1071</v>
      </c>
      <c r="B517" s="5" t="s">
        <v>1072</v>
      </c>
      <c r="C517" s="5" t="s">
        <v>31</v>
      </c>
      <c r="D517" s="5">
        <v>38</v>
      </c>
      <c r="E517" s="5" t="s">
        <v>32</v>
      </c>
      <c r="F517" s="5" t="s">
        <v>42</v>
      </c>
      <c r="G517" s="5" t="s">
        <v>33</v>
      </c>
      <c r="H517" s="5">
        <v>1670219</v>
      </c>
      <c r="I517">
        <v>591</v>
      </c>
      <c r="J517">
        <v>1744272</v>
      </c>
      <c r="K517">
        <v>180</v>
      </c>
      <c r="L517">
        <v>13.5</v>
      </c>
      <c r="M517" t="s">
        <v>25</v>
      </c>
      <c r="N517" t="s">
        <v>38</v>
      </c>
      <c r="O517" t="s">
        <v>27</v>
      </c>
      <c r="P517">
        <v>10998.6</v>
      </c>
      <c r="Q517">
        <v>268878.03999999998</v>
      </c>
      <c r="R517" t="s">
        <v>35</v>
      </c>
      <c r="S517" s="1">
        <v>45823</v>
      </c>
    </row>
    <row r="518" spans="1:19" x14ac:dyDescent="0.25">
      <c r="A518" s="5" t="s">
        <v>1073</v>
      </c>
      <c r="B518" s="5" t="s">
        <v>1074</v>
      </c>
      <c r="C518" s="5" t="s">
        <v>31</v>
      </c>
      <c r="D518" s="5">
        <v>37</v>
      </c>
      <c r="E518" s="5" t="s">
        <v>22</v>
      </c>
      <c r="F518" s="5" t="s">
        <v>23</v>
      </c>
      <c r="G518" s="5" t="s">
        <v>33</v>
      </c>
      <c r="H518" s="5">
        <v>1753869</v>
      </c>
      <c r="I518">
        <v>572</v>
      </c>
      <c r="J518">
        <v>1575211</v>
      </c>
      <c r="K518">
        <v>48</v>
      </c>
      <c r="L518">
        <v>11.98</v>
      </c>
      <c r="M518" t="s">
        <v>5</v>
      </c>
      <c r="N518" t="s">
        <v>104</v>
      </c>
      <c r="O518" t="s">
        <v>27</v>
      </c>
      <c r="P518">
        <v>36748.36</v>
      </c>
      <c r="Q518">
        <v>535971.83999999997</v>
      </c>
      <c r="R518" t="s">
        <v>35</v>
      </c>
      <c r="S518" s="1">
        <v>45614</v>
      </c>
    </row>
    <row r="519" spans="1:19" x14ac:dyDescent="0.25">
      <c r="A519" s="5" t="s">
        <v>1075</v>
      </c>
      <c r="B519" s="5" t="s">
        <v>1076</v>
      </c>
      <c r="C519" s="5" t="s">
        <v>21</v>
      </c>
      <c r="D519" s="5">
        <v>47</v>
      </c>
      <c r="E519" s="5" t="s">
        <v>22</v>
      </c>
      <c r="F519" s="5" t="s">
        <v>23</v>
      </c>
      <c r="G519" s="5" t="s">
        <v>33</v>
      </c>
      <c r="H519" s="5">
        <v>1101275</v>
      </c>
      <c r="I519">
        <v>696</v>
      </c>
      <c r="J519">
        <v>162000</v>
      </c>
      <c r="K519">
        <v>120</v>
      </c>
      <c r="L519">
        <v>13.36</v>
      </c>
      <c r="M519" t="s">
        <v>57</v>
      </c>
      <c r="N519" t="s">
        <v>38</v>
      </c>
      <c r="O519" t="s">
        <v>27</v>
      </c>
      <c r="P519">
        <v>1530.36</v>
      </c>
      <c r="Q519">
        <v>157958.56</v>
      </c>
      <c r="R519" t="s">
        <v>28</v>
      </c>
      <c r="S519" s="1">
        <v>45763</v>
      </c>
    </row>
    <row r="520" spans="1:19" x14ac:dyDescent="0.25">
      <c r="A520" s="5" t="s">
        <v>1077</v>
      </c>
      <c r="B520" s="5" t="s">
        <v>1078</v>
      </c>
      <c r="C520" s="5" t="s">
        <v>31</v>
      </c>
      <c r="D520" s="5">
        <v>59</v>
      </c>
      <c r="E520" s="5" t="s">
        <v>22</v>
      </c>
      <c r="F520" s="5" t="s">
        <v>23</v>
      </c>
      <c r="G520" s="5" t="s">
        <v>24</v>
      </c>
      <c r="H520" s="5">
        <v>1997671</v>
      </c>
      <c r="I520">
        <v>704</v>
      </c>
      <c r="J520">
        <v>580605</v>
      </c>
      <c r="K520">
        <v>12</v>
      </c>
      <c r="L520">
        <v>11</v>
      </c>
      <c r="M520" t="s">
        <v>57</v>
      </c>
      <c r="N520" t="s">
        <v>104</v>
      </c>
      <c r="O520" t="s">
        <v>27</v>
      </c>
      <c r="P520">
        <v>53705.96</v>
      </c>
      <c r="Q520">
        <v>406225.94</v>
      </c>
      <c r="R520" t="s">
        <v>28</v>
      </c>
      <c r="S520" s="1">
        <v>45650</v>
      </c>
    </row>
    <row r="521" spans="1:19" x14ac:dyDescent="0.25">
      <c r="A521" s="5" t="s">
        <v>1079</v>
      </c>
      <c r="B521" s="5" t="s">
        <v>1080</v>
      </c>
      <c r="C521" s="5" t="s">
        <v>31</v>
      </c>
      <c r="D521" s="5">
        <v>52</v>
      </c>
      <c r="E521" s="5" t="s">
        <v>32</v>
      </c>
      <c r="F521" s="5" t="s">
        <v>23</v>
      </c>
      <c r="G521" s="5" t="s">
        <v>33</v>
      </c>
      <c r="H521" s="5">
        <v>435275</v>
      </c>
      <c r="I521">
        <v>835</v>
      </c>
      <c r="J521">
        <v>1588597</v>
      </c>
      <c r="K521">
        <v>84</v>
      </c>
      <c r="L521">
        <v>12.21</v>
      </c>
      <c r="M521" t="s">
        <v>43</v>
      </c>
      <c r="N521" t="s">
        <v>51</v>
      </c>
      <c r="O521" t="s">
        <v>27</v>
      </c>
      <c r="P521">
        <v>21221.01</v>
      </c>
      <c r="Q521">
        <v>366876.42</v>
      </c>
      <c r="R521" t="s">
        <v>28</v>
      </c>
      <c r="S521" s="1">
        <v>45628</v>
      </c>
    </row>
    <row r="522" spans="1:19" x14ac:dyDescent="0.25">
      <c r="A522" s="5" t="s">
        <v>1081</v>
      </c>
      <c r="B522" s="5" t="s">
        <v>1082</v>
      </c>
      <c r="C522" s="5" t="s">
        <v>21</v>
      </c>
      <c r="D522" s="5">
        <v>44</v>
      </c>
      <c r="E522" s="5" t="s">
        <v>22</v>
      </c>
      <c r="F522" s="5" t="s">
        <v>23</v>
      </c>
      <c r="G522" s="5" t="s">
        <v>33</v>
      </c>
      <c r="H522" s="5">
        <v>395072</v>
      </c>
      <c r="I522">
        <v>789</v>
      </c>
      <c r="J522">
        <v>1612023</v>
      </c>
      <c r="K522">
        <v>240</v>
      </c>
      <c r="L522">
        <v>9.44</v>
      </c>
      <c r="M522" t="s">
        <v>5</v>
      </c>
      <c r="N522" t="s">
        <v>51</v>
      </c>
      <c r="O522" t="s">
        <v>39</v>
      </c>
      <c r="P522">
        <v>7350.82</v>
      </c>
      <c r="Q522">
        <v>1421544.03</v>
      </c>
      <c r="R522" t="s">
        <v>28</v>
      </c>
      <c r="S522" s="1">
        <v>46003</v>
      </c>
    </row>
    <row r="523" spans="1:19" x14ac:dyDescent="0.25">
      <c r="A523" s="5" t="s">
        <v>1083</v>
      </c>
      <c r="B523" s="5" t="s">
        <v>1084</v>
      </c>
      <c r="C523" s="5" t="s">
        <v>21</v>
      </c>
      <c r="D523" s="5">
        <v>60</v>
      </c>
      <c r="E523" s="5" t="s">
        <v>22</v>
      </c>
      <c r="F523" s="5" t="s">
        <v>42</v>
      </c>
      <c r="G523" s="5" t="s">
        <v>33</v>
      </c>
      <c r="H523" s="5">
        <v>1875266</v>
      </c>
      <c r="I523">
        <v>755</v>
      </c>
      <c r="J523">
        <v>1516934</v>
      </c>
      <c r="K523">
        <v>24</v>
      </c>
      <c r="L523">
        <v>14.83</v>
      </c>
      <c r="M523" t="s">
        <v>5</v>
      </c>
      <c r="N523" t="s">
        <v>38</v>
      </c>
      <c r="O523" t="s">
        <v>27</v>
      </c>
      <c r="P523">
        <v>72578.97</v>
      </c>
      <c r="Q523">
        <v>762673.69</v>
      </c>
      <c r="R523" t="s">
        <v>28</v>
      </c>
      <c r="S523" s="1">
        <v>45664</v>
      </c>
    </row>
    <row r="524" spans="1:19" x14ac:dyDescent="0.25">
      <c r="A524" s="5" t="s">
        <v>1085</v>
      </c>
      <c r="B524" s="5" t="s">
        <v>1086</v>
      </c>
      <c r="C524" s="5" t="s">
        <v>31</v>
      </c>
      <c r="D524" s="5">
        <v>45</v>
      </c>
      <c r="E524" s="5" t="s">
        <v>22</v>
      </c>
      <c r="F524" s="5" t="s">
        <v>42</v>
      </c>
      <c r="G524" s="5" t="s">
        <v>24</v>
      </c>
      <c r="H524" s="5">
        <v>626936</v>
      </c>
      <c r="I524">
        <v>562</v>
      </c>
      <c r="J524">
        <v>378128</v>
      </c>
      <c r="K524">
        <v>240</v>
      </c>
      <c r="L524">
        <v>10.9</v>
      </c>
      <c r="M524" t="s">
        <v>54</v>
      </c>
      <c r="N524" t="s">
        <v>26</v>
      </c>
      <c r="O524" t="s">
        <v>27</v>
      </c>
      <c r="P524">
        <v>1747.27</v>
      </c>
      <c r="Q524">
        <v>61333.7</v>
      </c>
      <c r="R524" t="s">
        <v>28</v>
      </c>
      <c r="S524" s="1">
        <v>45517</v>
      </c>
    </row>
    <row r="525" spans="1:19" x14ac:dyDescent="0.25">
      <c r="A525" s="5" t="s">
        <v>1087</v>
      </c>
      <c r="B525" s="5" t="s">
        <v>1088</v>
      </c>
      <c r="C525" s="5" t="s">
        <v>21</v>
      </c>
      <c r="D525" s="5">
        <v>60</v>
      </c>
      <c r="E525" s="5" t="s">
        <v>22</v>
      </c>
      <c r="F525" s="5" t="s">
        <v>23</v>
      </c>
      <c r="G525" s="5" t="s">
        <v>24</v>
      </c>
      <c r="H525" s="5">
        <v>1584578</v>
      </c>
      <c r="I525">
        <v>646</v>
      </c>
      <c r="J525">
        <v>1459085</v>
      </c>
      <c r="K525">
        <v>180</v>
      </c>
      <c r="L525">
        <v>14.83</v>
      </c>
      <c r="M525" t="s">
        <v>43</v>
      </c>
      <c r="N525" t="s">
        <v>26</v>
      </c>
      <c r="O525" t="s">
        <v>27</v>
      </c>
      <c r="P525">
        <v>9308.15</v>
      </c>
      <c r="Q525">
        <v>421177.08</v>
      </c>
      <c r="R525" t="s">
        <v>28</v>
      </c>
      <c r="S525" s="1">
        <v>45781</v>
      </c>
    </row>
    <row r="526" spans="1:19" x14ac:dyDescent="0.25">
      <c r="A526" s="5" t="s">
        <v>1089</v>
      </c>
      <c r="B526" s="5" t="s">
        <v>1090</v>
      </c>
      <c r="C526" s="5" t="s">
        <v>21</v>
      </c>
      <c r="D526" s="5">
        <v>25</v>
      </c>
      <c r="E526" s="5" t="s">
        <v>32</v>
      </c>
      <c r="F526" s="5" t="s">
        <v>23</v>
      </c>
      <c r="G526" s="5" t="s">
        <v>33</v>
      </c>
      <c r="H526" s="5">
        <v>1243044</v>
      </c>
      <c r="I526">
        <v>718</v>
      </c>
      <c r="J526">
        <v>484091</v>
      </c>
      <c r="K526">
        <v>12</v>
      </c>
      <c r="L526">
        <v>11.19</v>
      </c>
      <c r="M526" t="s">
        <v>25</v>
      </c>
      <c r="N526" t="s">
        <v>38</v>
      </c>
      <c r="O526" t="s">
        <v>27</v>
      </c>
      <c r="P526">
        <v>44855.07</v>
      </c>
      <c r="Q526">
        <v>377795.3</v>
      </c>
      <c r="R526" t="s">
        <v>28</v>
      </c>
      <c r="S526" s="1">
        <v>45659</v>
      </c>
    </row>
    <row r="527" spans="1:19" x14ac:dyDescent="0.25">
      <c r="A527" s="5" t="s">
        <v>1091</v>
      </c>
      <c r="B527" s="5" t="s">
        <v>1092</v>
      </c>
      <c r="C527" s="5" t="s">
        <v>31</v>
      </c>
      <c r="D527" s="5">
        <v>30</v>
      </c>
      <c r="E527" s="5" t="s">
        <v>32</v>
      </c>
      <c r="F527" s="5" t="s">
        <v>42</v>
      </c>
      <c r="G527" s="5" t="s">
        <v>24</v>
      </c>
      <c r="H527" s="5">
        <v>1421433</v>
      </c>
      <c r="I527">
        <v>719</v>
      </c>
      <c r="J527">
        <v>453911</v>
      </c>
      <c r="K527">
        <v>12</v>
      </c>
      <c r="L527">
        <v>8.42</v>
      </c>
      <c r="M527" t="s">
        <v>57</v>
      </c>
      <c r="N527" t="s">
        <v>38</v>
      </c>
      <c r="O527" t="s">
        <v>27</v>
      </c>
      <c r="P527">
        <v>41010.86</v>
      </c>
      <c r="Q527">
        <v>386387.67</v>
      </c>
      <c r="R527" t="s">
        <v>28</v>
      </c>
      <c r="S527" s="1">
        <v>45661</v>
      </c>
    </row>
    <row r="528" spans="1:19" x14ac:dyDescent="0.25">
      <c r="A528" s="5" t="s">
        <v>1093</v>
      </c>
      <c r="B528" s="5" t="s">
        <v>1094</v>
      </c>
      <c r="C528" s="5" t="s">
        <v>31</v>
      </c>
      <c r="D528" s="5">
        <v>59</v>
      </c>
      <c r="E528" s="5" t="s">
        <v>32</v>
      </c>
      <c r="F528" s="5" t="s">
        <v>42</v>
      </c>
      <c r="G528" s="5" t="s">
        <v>24</v>
      </c>
      <c r="H528" s="5">
        <v>1066535</v>
      </c>
      <c r="I528">
        <v>679</v>
      </c>
      <c r="J528">
        <v>397797</v>
      </c>
      <c r="K528">
        <v>120</v>
      </c>
      <c r="L528">
        <v>9.56</v>
      </c>
      <c r="M528" t="s">
        <v>54</v>
      </c>
      <c r="N528" t="s">
        <v>34</v>
      </c>
      <c r="O528" t="s">
        <v>27</v>
      </c>
      <c r="P528">
        <v>3631.89</v>
      </c>
      <c r="Q528">
        <v>159513.04</v>
      </c>
      <c r="R528" t="s">
        <v>28</v>
      </c>
      <c r="S528" s="1">
        <v>45694</v>
      </c>
    </row>
    <row r="529" spans="1:19" x14ac:dyDescent="0.25">
      <c r="A529" s="5" t="s">
        <v>1095</v>
      </c>
      <c r="B529" s="5" t="s">
        <v>1096</v>
      </c>
      <c r="C529" s="5" t="s">
        <v>21</v>
      </c>
      <c r="D529" s="5">
        <v>30</v>
      </c>
      <c r="E529" s="5" t="s">
        <v>32</v>
      </c>
      <c r="F529" s="5" t="s">
        <v>42</v>
      </c>
      <c r="G529" s="5" t="s">
        <v>24</v>
      </c>
      <c r="H529" s="5">
        <v>687929</v>
      </c>
      <c r="I529">
        <v>668</v>
      </c>
      <c r="J529">
        <v>1417701</v>
      </c>
      <c r="K529">
        <v>36</v>
      </c>
      <c r="L529">
        <v>12.89</v>
      </c>
      <c r="M529" t="s">
        <v>54</v>
      </c>
      <c r="N529" t="s">
        <v>34</v>
      </c>
      <c r="O529" t="s">
        <v>27</v>
      </c>
      <c r="P529">
        <v>44456.74</v>
      </c>
      <c r="Q529">
        <v>540260.96</v>
      </c>
      <c r="R529" t="s">
        <v>28</v>
      </c>
      <c r="S529" s="1">
        <v>45994</v>
      </c>
    </row>
    <row r="530" spans="1:19" x14ac:dyDescent="0.25">
      <c r="A530" s="5" t="s">
        <v>1097</v>
      </c>
      <c r="B530" s="5" t="s">
        <v>1098</v>
      </c>
      <c r="C530" s="5" t="s">
        <v>21</v>
      </c>
      <c r="D530" s="5">
        <v>42</v>
      </c>
      <c r="E530" s="5" t="s">
        <v>32</v>
      </c>
      <c r="F530" s="5" t="s">
        <v>23</v>
      </c>
      <c r="G530" s="5" t="s">
        <v>24</v>
      </c>
      <c r="H530" s="5">
        <v>850335</v>
      </c>
      <c r="I530">
        <v>801</v>
      </c>
      <c r="J530">
        <v>842091</v>
      </c>
      <c r="K530">
        <v>60</v>
      </c>
      <c r="L530">
        <v>9.5299999999999994</v>
      </c>
      <c r="M530" t="s">
        <v>25</v>
      </c>
      <c r="N530" t="s">
        <v>34</v>
      </c>
      <c r="O530" t="s">
        <v>27</v>
      </c>
      <c r="P530">
        <v>15372.37</v>
      </c>
      <c r="Q530">
        <v>836310.62</v>
      </c>
      <c r="R530" t="s">
        <v>28</v>
      </c>
      <c r="S530" s="1">
        <v>45575</v>
      </c>
    </row>
    <row r="531" spans="1:19" x14ac:dyDescent="0.25">
      <c r="A531" s="5" t="s">
        <v>1099</v>
      </c>
      <c r="B531" s="5" t="s">
        <v>1100</v>
      </c>
      <c r="C531" s="5" t="s">
        <v>21</v>
      </c>
      <c r="D531" s="5">
        <v>41</v>
      </c>
      <c r="E531" s="5" t="s">
        <v>32</v>
      </c>
      <c r="F531" s="5" t="s">
        <v>42</v>
      </c>
      <c r="G531" s="5" t="s">
        <v>33</v>
      </c>
      <c r="H531" s="5">
        <v>1798308</v>
      </c>
      <c r="I531">
        <v>578</v>
      </c>
      <c r="J531">
        <v>134674</v>
      </c>
      <c r="K531">
        <v>120</v>
      </c>
      <c r="L531">
        <v>9.4499999999999993</v>
      </c>
      <c r="M531" t="s">
        <v>25</v>
      </c>
      <c r="N531" t="s">
        <v>26</v>
      </c>
      <c r="O531" t="s">
        <v>27</v>
      </c>
      <c r="P531">
        <v>1228.3399999999999</v>
      </c>
      <c r="Q531">
        <v>49070.93</v>
      </c>
      <c r="R531" t="s">
        <v>28</v>
      </c>
      <c r="S531" s="1">
        <v>45344</v>
      </c>
    </row>
    <row r="532" spans="1:19" x14ac:dyDescent="0.25">
      <c r="A532" s="5" t="s">
        <v>1101</v>
      </c>
      <c r="B532" s="5" t="s">
        <v>1102</v>
      </c>
      <c r="C532" s="5" t="s">
        <v>21</v>
      </c>
      <c r="D532" s="5">
        <v>32</v>
      </c>
      <c r="E532" s="5" t="s">
        <v>22</v>
      </c>
      <c r="F532" s="5" t="s">
        <v>42</v>
      </c>
      <c r="G532" s="5" t="s">
        <v>24</v>
      </c>
      <c r="H532" s="5">
        <v>979700</v>
      </c>
      <c r="I532">
        <v>743</v>
      </c>
      <c r="J532">
        <v>220540</v>
      </c>
      <c r="K532">
        <v>84</v>
      </c>
      <c r="L532">
        <v>7.73</v>
      </c>
      <c r="M532" t="s">
        <v>43</v>
      </c>
      <c r="N532" t="s">
        <v>51</v>
      </c>
      <c r="O532" t="s">
        <v>27</v>
      </c>
      <c r="P532">
        <v>2828.43</v>
      </c>
      <c r="Q532">
        <v>219382.42</v>
      </c>
      <c r="R532" t="s">
        <v>28</v>
      </c>
      <c r="S532" s="1">
        <v>45432</v>
      </c>
    </row>
    <row r="533" spans="1:19" x14ac:dyDescent="0.25">
      <c r="A533" s="5" t="s">
        <v>1103</v>
      </c>
      <c r="B533" s="5" t="s">
        <v>1104</v>
      </c>
      <c r="C533" s="5" t="s">
        <v>31</v>
      </c>
      <c r="D533" s="5">
        <v>30</v>
      </c>
      <c r="E533" s="5" t="s">
        <v>22</v>
      </c>
      <c r="F533" s="5" t="s">
        <v>23</v>
      </c>
      <c r="G533" s="5" t="s">
        <v>33</v>
      </c>
      <c r="H533" s="5">
        <v>576177</v>
      </c>
      <c r="I533">
        <v>751</v>
      </c>
      <c r="J533">
        <v>246090</v>
      </c>
      <c r="K533">
        <v>48</v>
      </c>
      <c r="L533">
        <v>11.13</v>
      </c>
      <c r="M533" t="s">
        <v>43</v>
      </c>
      <c r="N533" t="s">
        <v>44</v>
      </c>
      <c r="O533" t="s">
        <v>27</v>
      </c>
      <c r="P533">
        <v>5697.5</v>
      </c>
      <c r="Q533">
        <v>191474.68</v>
      </c>
      <c r="R533" t="s">
        <v>28</v>
      </c>
      <c r="S533" s="1">
        <v>45854</v>
      </c>
    </row>
    <row r="534" spans="1:19" x14ac:dyDescent="0.25">
      <c r="A534" s="5" t="s">
        <v>1105</v>
      </c>
      <c r="B534" s="5" t="s">
        <v>1106</v>
      </c>
      <c r="C534" s="5" t="s">
        <v>31</v>
      </c>
      <c r="D534" s="5">
        <v>26</v>
      </c>
      <c r="E534" s="5" t="s">
        <v>22</v>
      </c>
      <c r="F534" s="5" t="s">
        <v>42</v>
      </c>
      <c r="G534" s="5" t="s">
        <v>33</v>
      </c>
      <c r="H534" s="5">
        <v>706178</v>
      </c>
      <c r="I534">
        <v>808</v>
      </c>
      <c r="J534">
        <v>1917888</v>
      </c>
      <c r="K534">
        <v>36</v>
      </c>
      <c r="L534">
        <v>8.23</v>
      </c>
      <c r="M534" t="s">
        <v>25</v>
      </c>
      <c r="N534" t="s">
        <v>34</v>
      </c>
      <c r="O534" t="s">
        <v>27</v>
      </c>
      <c r="P534">
        <v>57659.17</v>
      </c>
      <c r="Q534">
        <v>1397293.42</v>
      </c>
      <c r="R534" t="s">
        <v>28</v>
      </c>
      <c r="S534" s="1">
        <v>45739</v>
      </c>
    </row>
    <row r="535" spans="1:19" x14ac:dyDescent="0.25">
      <c r="A535" s="5" t="s">
        <v>1107</v>
      </c>
      <c r="B535" s="5" t="s">
        <v>1108</v>
      </c>
      <c r="C535" s="5" t="s">
        <v>31</v>
      </c>
      <c r="D535" s="5">
        <v>24</v>
      </c>
      <c r="E535" s="5" t="s">
        <v>32</v>
      </c>
      <c r="F535" s="5" t="s">
        <v>42</v>
      </c>
      <c r="G535" s="5" t="s">
        <v>33</v>
      </c>
      <c r="H535" s="5">
        <v>1553747</v>
      </c>
      <c r="I535">
        <v>685</v>
      </c>
      <c r="J535">
        <v>520725</v>
      </c>
      <c r="K535">
        <v>36</v>
      </c>
      <c r="L535">
        <v>7.81</v>
      </c>
      <c r="M535" t="s">
        <v>25</v>
      </c>
      <c r="N535" t="s">
        <v>34</v>
      </c>
      <c r="O535" t="s">
        <v>27</v>
      </c>
      <c r="P535">
        <v>15594.27</v>
      </c>
      <c r="Q535">
        <v>453412.18</v>
      </c>
      <c r="R535" t="s">
        <v>28</v>
      </c>
      <c r="S535" s="1">
        <v>45721</v>
      </c>
    </row>
    <row r="536" spans="1:19" x14ac:dyDescent="0.25">
      <c r="A536" s="5" t="s">
        <v>1109</v>
      </c>
      <c r="B536" s="5" t="s">
        <v>1110</v>
      </c>
      <c r="C536" s="5" t="s">
        <v>31</v>
      </c>
      <c r="D536" s="5">
        <v>38</v>
      </c>
      <c r="E536" s="5" t="s">
        <v>32</v>
      </c>
      <c r="F536" s="5" t="s">
        <v>23</v>
      </c>
      <c r="G536" s="5" t="s">
        <v>33</v>
      </c>
      <c r="H536" s="5">
        <v>460298</v>
      </c>
      <c r="I536">
        <v>830</v>
      </c>
      <c r="J536">
        <v>657601</v>
      </c>
      <c r="K536">
        <v>120</v>
      </c>
      <c r="L536">
        <v>8.0500000000000007</v>
      </c>
      <c r="M536" t="s">
        <v>25</v>
      </c>
      <c r="N536" t="s">
        <v>38</v>
      </c>
      <c r="O536" t="s">
        <v>27</v>
      </c>
      <c r="P536">
        <v>5921.15</v>
      </c>
      <c r="Q536">
        <v>604686.36</v>
      </c>
      <c r="R536" t="s">
        <v>28</v>
      </c>
      <c r="S536" s="1">
        <v>45856</v>
      </c>
    </row>
    <row r="537" spans="1:19" x14ac:dyDescent="0.25">
      <c r="A537" s="5" t="s">
        <v>1111</v>
      </c>
      <c r="B537" s="5" t="s">
        <v>1112</v>
      </c>
      <c r="C537" s="5" t="s">
        <v>31</v>
      </c>
      <c r="D537" s="5">
        <v>34</v>
      </c>
      <c r="E537" s="5" t="s">
        <v>22</v>
      </c>
      <c r="F537" s="5" t="s">
        <v>23</v>
      </c>
      <c r="G537" s="5" t="s">
        <v>24</v>
      </c>
      <c r="H537" s="5">
        <v>451075</v>
      </c>
      <c r="I537">
        <v>793</v>
      </c>
      <c r="J537">
        <v>881046</v>
      </c>
      <c r="K537">
        <v>180</v>
      </c>
      <c r="L537">
        <v>9.15</v>
      </c>
      <c r="M537" t="s">
        <v>43</v>
      </c>
      <c r="N537" t="s">
        <v>26</v>
      </c>
      <c r="O537" t="s">
        <v>27</v>
      </c>
      <c r="P537">
        <v>5342.57</v>
      </c>
      <c r="Q537">
        <v>292057.90000000002</v>
      </c>
      <c r="R537" t="s">
        <v>28</v>
      </c>
      <c r="S537" s="1">
        <v>45848</v>
      </c>
    </row>
    <row r="538" spans="1:19" x14ac:dyDescent="0.25">
      <c r="A538" s="5" t="s">
        <v>1113</v>
      </c>
      <c r="B538" s="5" t="s">
        <v>1114</v>
      </c>
      <c r="C538" s="5" t="s">
        <v>31</v>
      </c>
      <c r="D538" s="5">
        <v>28</v>
      </c>
      <c r="E538" s="5" t="s">
        <v>22</v>
      </c>
      <c r="F538" s="5" t="s">
        <v>23</v>
      </c>
      <c r="G538" s="5" t="s">
        <v>24</v>
      </c>
      <c r="H538" s="5">
        <v>1125040</v>
      </c>
      <c r="I538">
        <v>764</v>
      </c>
      <c r="J538">
        <v>224625</v>
      </c>
      <c r="K538">
        <v>24</v>
      </c>
      <c r="L538">
        <v>10.74</v>
      </c>
      <c r="M538" t="s">
        <v>57</v>
      </c>
      <c r="N538" t="s">
        <v>51</v>
      </c>
      <c r="O538" t="s">
        <v>27</v>
      </c>
      <c r="P538">
        <v>10364.57</v>
      </c>
      <c r="Q538">
        <v>208906.29</v>
      </c>
      <c r="R538" t="s">
        <v>28</v>
      </c>
      <c r="S538" s="1">
        <v>45463</v>
      </c>
    </row>
    <row r="539" spans="1:19" x14ac:dyDescent="0.25">
      <c r="A539" s="5" t="s">
        <v>1115</v>
      </c>
      <c r="B539" s="5" t="s">
        <v>1116</v>
      </c>
      <c r="C539" s="5" t="s">
        <v>31</v>
      </c>
      <c r="D539" s="5">
        <v>50</v>
      </c>
      <c r="E539" s="5" t="s">
        <v>22</v>
      </c>
      <c r="F539" s="5" t="s">
        <v>42</v>
      </c>
      <c r="G539" s="5" t="s">
        <v>24</v>
      </c>
      <c r="H539" s="5">
        <v>1525588</v>
      </c>
      <c r="I539">
        <v>708</v>
      </c>
      <c r="J539">
        <v>1960848</v>
      </c>
      <c r="K539">
        <v>12</v>
      </c>
      <c r="L539">
        <v>14.23</v>
      </c>
      <c r="M539" t="s">
        <v>25</v>
      </c>
      <c r="N539" t="s">
        <v>26</v>
      </c>
      <c r="O539" t="s">
        <v>27</v>
      </c>
      <c r="P539">
        <v>186656.39</v>
      </c>
      <c r="Q539">
        <v>273031.32</v>
      </c>
      <c r="R539" t="s">
        <v>28</v>
      </c>
      <c r="S539" s="1">
        <v>45837</v>
      </c>
    </row>
    <row r="540" spans="1:19" x14ac:dyDescent="0.25">
      <c r="A540" s="5" t="s">
        <v>1117</v>
      </c>
      <c r="B540" s="5" t="s">
        <v>1118</v>
      </c>
      <c r="C540" s="5" t="s">
        <v>21</v>
      </c>
      <c r="D540" s="5">
        <v>49</v>
      </c>
      <c r="E540" s="5" t="s">
        <v>32</v>
      </c>
      <c r="F540" s="5" t="s">
        <v>42</v>
      </c>
      <c r="G540" s="5" t="s">
        <v>24</v>
      </c>
      <c r="H540" s="5">
        <v>1099800</v>
      </c>
      <c r="I540">
        <v>742</v>
      </c>
      <c r="J540">
        <v>668035</v>
      </c>
      <c r="K540">
        <v>60</v>
      </c>
      <c r="L540">
        <v>9.9</v>
      </c>
      <c r="M540" t="s">
        <v>5</v>
      </c>
      <c r="N540" t="s">
        <v>34</v>
      </c>
      <c r="O540" t="s">
        <v>27</v>
      </c>
      <c r="P540">
        <v>12236.17</v>
      </c>
      <c r="Q540">
        <v>155696.26</v>
      </c>
      <c r="R540" t="s">
        <v>28</v>
      </c>
      <c r="S540" s="1">
        <v>45653</v>
      </c>
    </row>
    <row r="541" spans="1:19" x14ac:dyDescent="0.25">
      <c r="A541" s="5" t="s">
        <v>1119</v>
      </c>
      <c r="B541" s="5" t="s">
        <v>1120</v>
      </c>
      <c r="C541" s="5" t="s">
        <v>21</v>
      </c>
      <c r="D541" s="5">
        <v>32</v>
      </c>
      <c r="E541" s="5" t="s">
        <v>32</v>
      </c>
      <c r="F541" s="5" t="s">
        <v>23</v>
      </c>
      <c r="G541" s="5" t="s">
        <v>24</v>
      </c>
      <c r="H541" s="5">
        <v>1165008</v>
      </c>
      <c r="I541">
        <v>627</v>
      </c>
      <c r="J541">
        <v>952220</v>
      </c>
      <c r="K541">
        <v>60</v>
      </c>
      <c r="L541">
        <v>14.83</v>
      </c>
      <c r="M541" t="s">
        <v>54</v>
      </c>
      <c r="N541" t="s">
        <v>51</v>
      </c>
      <c r="O541" t="s">
        <v>39</v>
      </c>
      <c r="P541">
        <v>18223.900000000001</v>
      </c>
      <c r="Q541">
        <v>188138.23999999999</v>
      </c>
      <c r="R541" t="s">
        <v>28</v>
      </c>
      <c r="S541" s="1">
        <v>45783</v>
      </c>
    </row>
    <row r="542" spans="1:19" x14ac:dyDescent="0.25">
      <c r="A542" s="5" t="s">
        <v>1121</v>
      </c>
      <c r="B542" s="5" t="s">
        <v>1122</v>
      </c>
      <c r="C542" s="5" t="s">
        <v>31</v>
      </c>
      <c r="D542" s="5">
        <v>33</v>
      </c>
      <c r="E542" s="5" t="s">
        <v>22</v>
      </c>
      <c r="F542" s="5" t="s">
        <v>42</v>
      </c>
      <c r="G542" s="5" t="s">
        <v>24</v>
      </c>
      <c r="H542" s="5">
        <v>1799145</v>
      </c>
      <c r="I542">
        <v>817</v>
      </c>
      <c r="J542">
        <v>1000002</v>
      </c>
      <c r="K542">
        <v>120</v>
      </c>
      <c r="L542">
        <v>14.76</v>
      </c>
      <c r="M542" t="s">
        <v>43</v>
      </c>
      <c r="N542" t="s">
        <v>34</v>
      </c>
      <c r="O542" t="s">
        <v>27</v>
      </c>
      <c r="P542">
        <v>9563.35</v>
      </c>
      <c r="Q542">
        <v>839224.24</v>
      </c>
      <c r="R542" t="s">
        <v>28</v>
      </c>
      <c r="S542" s="1">
        <v>45593</v>
      </c>
    </row>
    <row r="543" spans="1:19" x14ac:dyDescent="0.25">
      <c r="A543" s="5" t="s">
        <v>1123</v>
      </c>
      <c r="B543" s="5" t="s">
        <v>1124</v>
      </c>
      <c r="C543" s="5" t="s">
        <v>31</v>
      </c>
      <c r="D543" s="5">
        <v>36</v>
      </c>
      <c r="E543" s="5" t="s">
        <v>32</v>
      </c>
      <c r="F543" s="5" t="s">
        <v>23</v>
      </c>
      <c r="G543" s="5" t="s">
        <v>24</v>
      </c>
      <c r="H543" s="5">
        <v>1871621</v>
      </c>
      <c r="I543">
        <v>752</v>
      </c>
      <c r="J543">
        <v>1247512</v>
      </c>
      <c r="K543">
        <v>12</v>
      </c>
      <c r="L543">
        <v>11.18</v>
      </c>
      <c r="M543" t="s">
        <v>54</v>
      </c>
      <c r="N543" t="s">
        <v>38</v>
      </c>
      <c r="O543" t="s">
        <v>27</v>
      </c>
      <c r="P543">
        <v>115581.99</v>
      </c>
      <c r="Q543">
        <v>1209973.99</v>
      </c>
      <c r="R543" t="s">
        <v>28</v>
      </c>
      <c r="S543" s="1">
        <v>45350</v>
      </c>
    </row>
    <row r="544" spans="1:19" x14ac:dyDescent="0.25">
      <c r="A544" s="5" t="s">
        <v>1125</v>
      </c>
      <c r="B544" s="5" t="s">
        <v>1126</v>
      </c>
      <c r="C544" s="5" t="s">
        <v>21</v>
      </c>
      <c r="D544" s="5">
        <v>59</v>
      </c>
      <c r="E544" s="5" t="s">
        <v>32</v>
      </c>
      <c r="F544" s="5" t="s">
        <v>42</v>
      </c>
      <c r="G544" s="5" t="s">
        <v>24</v>
      </c>
      <c r="H544" s="5">
        <v>1854121</v>
      </c>
      <c r="I544">
        <v>686</v>
      </c>
      <c r="J544">
        <v>944267</v>
      </c>
      <c r="K544">
        <v>24</v>
      </c>
      <c r="L544">
        <v>9.57</v>
      </c>
      <c r="M544" t="s">
        <v>5</v>
      </c>
      <c r="N544" t="s">
        <v>104</v>
      </c>
      <c r="O544" t="s">
        <v>27</v>
      </c>
      <c r="P544">
        <v>43109.72</v>
      </c>
      <c r="Q544">
        <v>799404.35</v>
      </c>
      <c r="R544" t="s">
        <v>28</v>
      </c>
      <c r="S544" s="1">
        <v>45493</v>
      </c>
    </row>
    <row r="545" spans="1:19" x14ac:dyDescent="0.25">
      <c r="A545" s="5" t="s">
        <v>1127</v>
      </c>
      <c r="B545" s="5" t="s">
        <v>1128</v>
      </c>
      <c r="C545" s="5" t="s">
        <v>31</v>
      </c>
      <c r="D545" s="5">
        <v>59</v>
      </c>
      <c r="E545" s="5" t="s">
        <v>22</v>
      </c>
      <c r="F545" s="5" t="s">
        <v>42</v>
      </c>
      <c r="G545" s="5" t="s">
        <v>24</v>
      </c>
      <c r="H545" s="5">
        <v>1957645</v>
      </c>
      <c r="I545">
        <v>646</v>
      </c>
      <c r="J545">
        <v>1952712</v>
      </c>
      <c r="K545">
        <v>36</v>
      </c>
      <c r="L545">
        <v>13.43</v>
      </c>
      <c r="M545" t="s">
        <v>43</v>
      </c>
      <c r="N545" t="s">
        <v>34</v>
      </c>
      <c r="O545" t="s">
        <v>27</v>
      </c>
      <c r="P545">
        <v>61526.7</v>
      </c>
      <c r="Q545">
        <v>1133806</v>
      </c>
      <c r="R545" t="s">
        <v>28</v>
      </c>
      <c r="S545" s="1">
        <v>45373</v>
      </c>
    </row>
    <row r="546" spans="1:19" x14ac:dyDescent="0.25">
      <c r="A546" s="5" t="s">
        <v>1129</v>
      </c>
      <c r="B546" s="5" t="s">
        <v>1130</v>
      </c>
      <c r="C546" s="5" t="s">
        <v>31</v>
      </c>
      <c r="D546" s="5">
        <v>55</v>
      </c>
      <c r="E546" s="5" t="s">
        <v>22</v>
      </c>
      <c r="F546" s="5" t="s">
        <v>23</v>
      </c>
      <c r="G546" s="5" t="s">
        <v>24</v>
      </c>
      <c r="H546" s="5">
        <v>267249</v>
      </c>
      <c r="I546">
        <v>671</v>
      </c>
      <c r="J546">
        <v>121714</v>
      </c>
      <c r="K546">
        <v>240</v>
      </c>
      <c r="L546">
        <v>15.38</v>
      </c>
      <c r="M546" t="s">
        <v>25</v>
      </c>
      <c r="N546" t="s">
        <v>44</v>
      </c>
      <c r="O546" t="s">
        <v>39</v>
      </c>
      <c r="P546">
        <v>585.14</v>
      </c>
      <c r="Q546">
        <v>95373.48</v>
      </c>
      <c r="R546" t="s">
        <v>28</v>
      </c>
      <c r="S546" s="1">
        <v>45377</v>
      </c>
    </row>
    <row r="547" spans="1:19" x14ac:dyDescent="0.25">
      <c r="A547" s="5" t="s">
        <v>1131</v>
      </c>
      <c r="B547" s="5" t="s">
        <v>1132</v>
      </c>
      <c r="C547" s="5" t="s">
        <v>21</v>
      </c>
      <c r="D547" s="5">
        <v>35</v>
      </c>
      <c r="E547" s="5" t="s">
        <v>32</v>
      </c>
      <c r="F547" s="5" t="s">
        <v>23</v>
      </c>
      <c r="G547" s="5" t="s">
        <v>33</v>
      </c>
      <c r="H547" s="5">
        <v>302241</v>
      </c>
      <c r="I547">
        <v>816</v>
      </c>
      <c r="J547">
        <v>455668</v>
      </c>
      <c r="K547">
        <v>12</v>
      </c>
      <c r="L547">
        <v>7.87</v>
      </c>
      <c r="M547" t="s">
        <v>57</v>
      </c>
      <c r="N547" t="s">
        <v>44</v>
      </c>
      <c r="O547" t="s">
        <v>27</v>
      </c>
      <c r="P547">
        <v>40960.76</v>
      </c>
      <c r="Q547">
        <v>136552.38</v>
      </c>
      <c r="R547" t="s">
        <v>28</v>
      </c>
      <c r="S547" s="1">
        <v>45425</v>
      </c>
    </row>
    <row r="548" spans="1:19" x14ac:dyDescent="0.25">
      <c r="A548" s="5" t="s">
        <v>1133</v>
      </c>
      <c r="B548" s="5" t="s">
        <v>1134</v>
      </c>
      <c r="C548" s="5" t="s">
        <v>31</v>
      </c>
      <c r="D548" s="5">
        <v>35</v>
      </c>
      <c r="E548" s="5" t="s">
        <v>22</v>
      </c>
      <c r="F548" s="5" t="s">
        <v>23</v>
      </c>
      <c r="G548" s="5" t="s">
        <v>24</v>
      </c>
      <c r="H548" s="5">
        <v>1456266</v>
      </c>
      <c r="I548">
        <v>765</v>
      </c>
      <c r="J548">
        <v>1700536</v>
      </c>
      <c r="K548">
        <v>12</v>
      </c>
      <c r="L548">
        <v>11.21</v>
      </c>
      <c r="M548" t="s">
        <v>5</v>
      </c>
      <c r="N548" t="s">
        <v>34</v>
      </c>
      <c r="O548" t="s">
        <v>27</v>
      </c>
      <c r="P548">
        <v>157597.17000000001</v>
      </c>
      <c r="Q548">
        <v>1551146.24</v>
      </c>
      <c r="R548" t="s">
        <v>28</v>
      </c>
      <c r="S548" s="1">
        <v>45475</v>
      </c>
    </row>
    <row r="549" spans="1:19" x14ac:dyDescent="0.25">
      <c r="A549" s="5" t="s">
        <v>1135</v>
      </c>
      <c r="B549" s="5" t="s">
        <v>1136</v>
      </c>
      <c r="C549" s="5" t="s">
        <v>31</v>
      </c>
      <c r="D549" s="5">
        <v>29</v>
      </c>
      <c r="E549" s="5" t="s">
        <v>32</v>
      </c>
      <c r="F549" s="5" t="s">
        <v>23</v>
      </c>
      <c r="G549" s="5" t="s">
        <v>24</v>
      </c>
      <c r="H549" s="5">
        <v>1147531</v>
      </c>
      <c r="I549">
        <v>609</v>
      </c>
      <c r="J549">
        <v>1811204</v>
      </c>
      <c r="K549">
        <v>240</v>
      </c>
      <c r="L549">
        <v>10.72</v>
      </c>
      <c r="M549" t="s">
        <v>54</v>
      </c>
      <c r="N549" t="s">
        <v>104</v>
      </c>
      <c r="O549" t="s">
        <v>27</v>
      </c>
      <c r="P549">
        <v>8355.69</v>
      </c>
      <c r="Q549">
        <v>1302493.1599999999</v>
      </c>
      <c r="R549" t="s">
        <v>28</v>
      </c>
      <c r="S549" s="1">
        <v>45406</v>
      </c>
    </row>
    <row r="550" spans="1:19" x14ac:dyDescent="0.25">
      <c r="A550" s="5" t="s">
        <v>1137</v>
      </c>
      <c r="B550" s="5" t="s">
        <v>1138</v>
      </c>
      <c r="C550" s="5" t="s">
        <v>31</v>
      </c>
      <c r="D550" s="5">
        <v>44</v>
      </c>
      <c r="E550" s="5" t="s">
        <v>32</v>
      </c>
      <c r="F550" s="5" t="s">
        <v>23</v>
      </c>
      <c r="G550" s="5" t="s">
        <v>33</v>
      </c>
      <c r="H550" s="5">
        <v>1084170</v>
      </c>
      <c r="I550">
        <v>651</v>
      </c>
      <c r="J550">
        <v>1843984</v>
      </c>
      <c r="K550">
        <v>84</v>
      </c>
      <c r="L550">
        <v>8.2200000000000006</v>
      </c>
      <c r="M550" t="s">
        <v>43</v>
      </c>
      <c r="N550" t="s">
        <v>34</v>
      </c>
      <c r="O550" t="s">
        <v>27</v>
      </c>
      <c r="P550">
        <v>23756.66</v>
      </c>
      <c r="Q550">
        <v>1190745.6299999999</v>
      </c>
      <c r="R550" t="s">
        <v>28</v>
      </c>
      <c r="S550" s="1">
        <v>45352</v>
      </c>
    </row>
    <row r="551" spans="1:19" x14ac:dyDescent="0.25">
      <c r="A551" s="5" t="s">
        <v>1139</v>
      </c>
      <c r="B551" s="5" t="s">
        <v>1140</v>
      </c>
      <c r="C551" s="5" t="s">
        <v>21</v>
      </c>
      <c r="D551" s="5">
        <v>39</v>
      </c>
      <c r="E551" s="5" t="s">
        <v>32</v>
      </c>
      <c r="F551" s="5" t="s">
        <v>42</v>
      </c>
      <c r="G551" s="5" t="s">
        <v>33</v>
      </c>
      <c r="H551" s="5">
        <v>1408786</v>
      </c>
      <c r="I551">
        <v>606</v>
      </c>
      <c r="J551">
        <v>1188640</v>
      </c>
      <c r="K551">
        <v>120</v>
      </c>
      <c r="L551">
        <v>9.52</v>
      </c>
      <c r="M551" t="s">
        <v>5</v>
      </c>
      <c r="N551" t="s">
        <v>51</v>
      </c>
      <c r="O551" t="s">
        <v>27</v>
      </c>
      <c r="P551">
        <v>10848.32</v>
      </c>
      <c r="Q551">
        <v>929991.08</v>
      </c>
      <c r="R551" t="s">
        <v>35</v>
      </c>
      <c r="S551" s="1">
        <v>45729</v>
      </c>
    </row>
    <row r="552" spans="1:19" x14ac:dyDescent="0.25">
      <c r="A552" s="5" t="s">
        <v>1141</v>
      </c>
      <c r="B552" s="5" t="s">
        <v>1142</v>
      </c>
      <c r="C552" s="5" t="s">
        <v>31</v>
      </c>
      <c r="D552" s="5">
        <v>35</v>
      </c>
      <c r="E552" s="5" t="s">
        <v>22</v>
      </c>
      <c r="F552" s="5" t="s">
        <v>23</v>
      </c>
      <c r="G552" s="5" t="s">
        <v>33</v>
      </c>
      <c r="H552" s="5">
        <v>1164875</v>
      </c>
      <c r="I552">
        <v>808</v>
      </c>
      <c r="J552">
        <v>1345061</v>
      </c>
      <c r="K552">
        <v>180</v>
      </c>
      <c r="L552">
        <v>11.81</v>
      </c>
      <c r="M552" t="s">
        <v>25</v>
      </c>
      <c r="N552" t="s">
        <v>104</v>
      </c>
      <c r="O552" t="s">
        <v>27</v>
      </c>
      <c r="P552">
        <v>8355.07</v>
      </c>
      <c r="Q552">
        <v>983213.1</v>
      </c>
      <c r="R552" t="s">
        <v>28</v>
      </c>
      <c r="S552" s="1">
        <v>45732</v>
      </c>
    </row>
    <row r="553" spans="1:19" x14ac:dyDescent="0.25">
      <c r="A553" s="5" t="s">
        <v>1143</v>
      </c>
      <c r="B553" s="5" t="s">
        <v>1144</v>
      </c>
      <c r="C553" s="5" t="s">
        <v>21</v>
      </c>
      <c r="D553" s="5">
        <v>50</v>
      </c>
      <c r="E553" s="5" t="s">
        <v>22</v>
      </c>
      <c r="F553" s="5" t="s">
        <v>23</v>
      </c>
      <c r="G553" s="5" t="s">
        <v>24</v>
      </c>
      <c r="H553" s="5">
        <v>1835597</v>
      </c>
      <c r="I553">
        <v>608</v>
      </c>
      <c r="J553">
        <v>1400876</v>
      </c>
      <c r="K553">
        <v>60</v>
      </c>
      <c r="L553">
        <v>8.6999999999999993</v>
      </c>
      <c r="M553" t="s">
        <v>25</v>
      </c>
      <c r="N553" t="s">
        <v>34</v>
      </c>
      <c r="O553" t="s">
        <v>39</v>
      </c>
      <c r="P553">
        <v>25379.200000000001</v>
      </c>
      <c r="Q553">
        <v>270361.88</v>
      </c>
      <c r="R553" t="s">
        <v>28</v>
      </c>
      <c r="S553" s="1">
        <v>45599</v>
      </c>
    </row>
    <row r="554" spans="1:19" x14ac:dyDescent="0.25">
      <c r="A554" s="5" t="s">
        <v>1145</v>
      </c>
      <c r="B554" s="5" t="s">
        <v>1146</v>
      </c>
      <c r="C554" s="5" t="s">
        <v>21</v>
      </c>
      <c r="D554" s="5">
        <v>49</v>
      </c>
      <c r="E554" s="5" t="s">
        <v>32</v>
      </c>
      <c r="F554" s="5" t="s">
        <v>42</v>
      </c>
      <c r="G554" s="5" t="s">
        <v>33</v>
      </c>
      <c r="H554" s="5">
        <v>1396589</v>
      </c>
      <c r="I554">
        <v>784</v>
      </c>
      <c r="J554">
        <v>710267</v>
      </c>
      <c r="K554">
        <v>120</v>
      </c>
      <c r="L554">
        <v>8.02</v>
      </c>
      <c r="M554" t="s">
        <v>5</v>
      </c>
      <c r="N554" t="s">
        <v>26</v>
      </c>
      <c r="O554" t="s">
        <v>27</v>
      </c>
      <c r="P554">
        <v>6393.59</v>
      </c>
      <c r="Q554">
        <v>209809.88</v>
      </c>
      <c r="R554" t="s">
        <v>28</v>
      </c>
      <c r="S554" s="1">
        <v>45496</v>
      </c>
    </row>
    <row r="555" spans="1:19" x14ac:dyDescent="0.25">
      <c r="A555" s="5" t="s">
        <v>1147</v>
      </c>
      <c r="B555" s="5" t="s">
        <v>1148</v>
      </c>
      <c r="C555" s="5" t="s">
        <v>21</v>
      </c>
      <c r="D555" s="5">
        <v>55</v>
      </c>
      <c r="E555" s="5" t="s">
        <v>32</v>
      </c>
      <c r="F555" s="5" t="s">
        <v>42</v>
      </c>
      <c r="G555" s="5" t="s">
        <v>33</v>
      </c>
      <c r="H555" s="5">
        <v>1800414</v>
      </c>
      <c r="I555">
        <v>607</v>
      </c>
      <c r="J555">
        <v>1033736</v>
      </c>
      <c r="K555">
        <v>24</v>
      </c>
      <c r="L555">
        <v>9.89</v>
      </c>
      <c r="M555" t="s">
        <v>57</v>
      </c>
      <c r="N555" t="s">
        <v>104</v>
      </c>
      <c r="O555" t="s">
        <v>39</v>
      </c>
      <c r="P555">
        <v>47332.19</v>
      </c>
      <c r="Q555">
        <v>455935.32</v>
      </c>
      <c r="R555" t="s">
        <v>28</v>
      </c>
      <c r="S555" s="1">
        <v>45305</v>
      </c>
    </row>
    <row r="556" spans="1:19" x14ac:dyDescent="0.25">
      <c r="A556" s="5" t="s">
        <v>1149</v>
      </c>
      <c r="B556" s="5" t="s">
        <v>1150</v>
      </c>
      <c r="C556" s="5" t="s">
        <v>21</v>
      </c>
      <c r="D556" s="5">
        <v>37</v>
      </c>
      <c r="E556" s="5" t="s">
        <v>22</v>
      </c>
      <c r="F556" s="5" t="s">
        <v>23</v>
      </c>
      <c r="G556" s="5" t="s">
        <v>33</v>
      </c>
      <c r="H556" s="5">
        <v>277542</v>
      </c>
      <c r="I556">
        <v>666</v>
      </c>
      <c r="J556">
        <v>213952</v>
      </c>
      <c r="K556">
        <v>120</v>
      </c>
      <c r="L556">
        <v>7.9</v>
      </c>
      <c r="M556" t="s">
        <v>54</v>
      </c>
      <c r="N556" t="s">
        <v>104</v>
      </c>
      <c r="O556" t="s">
        <v>27</v>
      </c>
      <c r="P556">
        <v>1923.79</v>
      </c>
      <c r="Q556">
        <v>44300.11</v>
      </c>
      <c r="R556" t="s">
        <v>28</v>
      </c>
      <c r="S556" s="1">
        <v>45959</v>
      </c>
    </row>
    <row r="557" spans="1:19" x14ac:dyDescent="0.25">
      <c r="A557" s="5" t="s">
        <v>1151</v>
      </c>
      <c r="B557" s="5" t="s">
        <v>1152</v>
      </c>
      <c r="C557" s="5" t="s">
        <v>31</v>
      </c>
      <c r="D557" s="5">
        <v>26</v>
      </c>
      <c r="E557" s="5" t="s">
        <v>32</v>
      </c>
      <c r="F557" s="5" t="s">
        <v>42</v>
      </c>
      <c r="G557" s="5" t="s">
        <v>33</v>
      </c>
      <c r="H557" s="5">
        <v>679496</v>
      </c>
      <c r="I557">
        <v>577</v>
      </c>
      <c r="J557">
        <v>1817900</v>
      </c>
      <c r="K557">
        <v>24</v>
      </c>
      <c r="L557">
        <v>12.27</v>
      </c>
      <c r="M557" t="s">
        <v>5</v>
      </c>
      <c r="N557" t="s">
        <v>26</v>
      </c>
      <c r="O557" t="s">
        <v>27</v>
      </c>
      <c r="P557">
        <v>85039.85</v>
      </c>
      <c r="Q557">
        <v>1104574.6100000001</v>
      </c>
      <c r="R557" t="s">
        <v>28</v>
      </c>
      <c r="S557" s="1">
        <v>45358</v>
      </c>
    </row>
    <row r="558" spans="1:19" x14ac:dyDescent="0.25">
      <c r="A558" s="5" t="s">
        <v>1153</v>
      </c>
      <c r="B558" s="5" t="s">
        <v>1154</v>
      </c>
      <c r="C558" s="5" t="s">
        <v>31</v>
      </c>
      <c r="D558" s="5">
        <v>39</v>
      </c>
      <c r="E558" s="5" t="s">
        <v>22</v>
      </c>
      <c r="F558" s="5" t="s">
        <v>23</v>
      </c>
      <c r="G558" s="5" t="s">
        <v>33</v>
      </c>
      <c r="H558" s="5">
        <v>366378</v>
      </c>
      <c r="I558">
        <v>664</v>
      </c>
      <c r="J558">
        <v>1040909</v>
      </c>
      <c r="K558">
        <v>48</v>
      </c>
      <c r="L558">
        <v>15.1</v>
      </c>
      <c r="M558" t="s">
        <v>25</v>
      </c>
      <c r="N558" t="s">
        <v>26</v>
      </c>
      <c r="O558" t="s">
        <v>39</v>
      </c>
      <c r="P558">
        <v>24960.13</v>
      </c>
      <c r="Q558">
        <v>564636.49</v>
      </c>
      <c r="R558" t="s">
        <v>28</v>
      </c>
      <c r="S558" s="1">
        <v>45338</v>
      </c>
    </row>
    <row r="559" spans="1:19" x14ac:dyDescent="0.25">
      <c r="A559" s="5" t="s">
        <v>1155</v>
      </c>
      <c r="B559" s="5" t="s">
        <v>1156</v>
      </c>
      <c r="C559" s="5" t="s">
        <v>21</v>
      </c>
      <c r="D559" s="5">
        <v>21</v>
      </c>
      <c r="E559" s="5" t="s">
        <v>32</v>
      </c>
      <c r="F559" s="5" t="s">
        <v>42</v>
      </c>
      <c r="G559" s="5" t="s">
        <v>33</v>
      </c>
      <c r="H559" s="5">
        <v>1464868</v>
      </c>
      <c r="I559">
        <v>734</v>
      </c>
      <c r="J559">
        <v>1675175</v>
      </c>
      <c r="K559">
        <v>120</v>
      </c>
      <c r="L559">
        <v>13.6</v>
      </c>
      <c r="M559" t="s">
        <v>5</v>
      </c>
      <c r="N559" t="s">
        <v>38</v>
      </c>
      <c r="O559" t="s">
        <v>27</v>
      </c>
      <c r="P559">
        <v>15858.32</v>
      </c>
      <c r="Q559">
        <v>1518437.24</v>
      </c>
      <c r="R559" t="s">
        <v>28</v>
      </c>
      <c r="S559" s="1">
        <v>45762</v>
      </c>
    </row>
    <row r="560" spans="1:19" x14ac:dyDescent="0.25">
      <c r="A560" s="5" t="s">
        <v>1157</v>
      </c>
      <c r="B560" s="5" t="s">
        <v>1158</v>
      </c>
      <c r="C560" s="5" t="s">
        <v>31</v>
      </c>
      <c r="D560" s="5">
        <v>53</v>
      </c>
      <c r="E560" s="5" t="s">
        <v>32</v>
      </c>
      <c r="F560" s="5" t="s">
        <v>42</v>
      </c>
      <c r="G560" s="5" t="s">
        <v>33</v>
      </c>
      <c r="H560" s="5">
        <v>1890005</v>
      </c>
      <c r="I560">
        <v>805</v>
      </c>
      <c r="J560">
        <v>631427</v>
      </c>
      <c r="K560">
        <v>36</v>
      </c>
      <c r="L560">
        <v>12.35</v>
      </c>
      <c r="M560" t="s">
        <v>57</v>
      </c>
      <c r="N560" t="s">
        <v>44</v>
      </c>
      <c r="O560" t="s">
        <v>27</v>
      </c>
      <c r="P560">
        <v>19705.78</v>
      </c>
      <c r="Q560">
        <v>328996.01</v>
      </c>
      <c r="R560" t="s">
        <v>28</v>
      </c>
      <c r="S560" s="1">
        <v>45790</v>
      </c>
    </row>
    <row r="561" spans="1:19" x14ac:dyDescent="0.25">
      <c r="A561" s="5" t="s">
        <v>1159</v>
      </c>
      <c r="B561" s="5" t="s">
        <v>1160</v>
      </c>
      <c r="C561" s="5" t="s">
        <v>31</v>
      </c>
      <c r="D561" s="5">
        <v>59</v>
      </c>
      <c r="E561" s="5" t="s">
        <v>22</v>
      </c>
      <c r="F561" s="5" t="s">
        <v>42</v>
      </c>
      <c r="G561" s="5" t="s">
        <v>24</v>
      </c>
      <c r="H561" s="5">
        <v>1417476</v>
      </c>
      <c r="I561">
        <v>550</v>
      </c>
      <c r="J561">
        <v>196364</v>
      </c>
      <c r="K561">
        <v>180</v>
      </c>
      <c r="L561">
        <v>8.8800000000000008</v>
      </c>
      <c r="M561" t="s">
        <v>57</v>
      </c>
      <c r="N561" t="s">
        <v>51</v>
      </c>
      <c r="O561" t="s">
        <v>27</v>
      </c>
      <c r="P561">
        <v>1187.78</v>
      </c>
      <c r="Q561">
        <v>132548.21</v>
      </c>
      <c r="R561" t="s">
        <v>35</v>
      </c>
      <c r="S561" s="1">
        <v>45381</v>
      </c>
    </row>
    <row r="562" spans="1:19" x14ac:dyDescent="0.25">
      <c r="A562" s="5" t="s">
        <v>1161</v>
      </c>
      <c r="B562" s="5" t="s">
        <v>1162</v>
      </c>
      <c r="C562" s="5" t="s">
        <v>31</v>
      </c>
      <c r="D562" s="5">
        <v>40</v>
      </c>
      <c r="E562" s="5" t="s">
        <v>22</v>
      </c>
      <c r="F562" s="5" t="s">
        <v>42</v>
      </c>
      <c r="G562" s="5" t="s">
        <v>33</v>
      </c>
      <c r="H562" s="5">
        <v>1568319</v>
      </c>
      <c r="I562">
        <v>814</v>
      </c>
      <c r="J562">
        <v>1705708</v>
      </c>
      <c r="K562">
        <v>180</v>
      </c>
      <c r="L562">
        <v>14.41</v>
      </c>
      <c r="M562" t="s">
        <v>25</v>
      </c>
      <c r="N562" t="s">
        <v>26</v>
      </c>
      <c r="O562" t="s">
        <v>27</v>
      </c>
      <c r="P562">
        <v>10841.67</v>
      </c>
      <c r="Q562">
        <v>761202.98</v>
      </c>
      <c r="R562" t="s">
        <v>28</v>
      </c>
      <c r="S562" s="1">
        <v>45505</v>
      </c>
    </row>
    <row r="563" spans="1:19" x14ac:dyDescent="0.25">
      <c r="A563" s="5" t="s">
        <v>1163</v>
      </c>
      <c r="B563" s="5" t="s">
        <v>1164</v>
      </c>
      <c r="C563" s="5" t="s">
        <v>31</v>
      </c>
      <c r="D563" s="5">
        <v>60</v>
      </c>
      <c r="E563" s="5" t="s">
        <v>22</v>
      </c>
      <c r="F563" s="5" t="s">
        <v>23</v>
      </c>
      <c r="G563" s="5" t="s">
        <v>24</v>
      </c>
      <c r="H563" s="5">
        <v>1151779</v>
      </c>
      <c r="I563">
        <v>619</v>
      </c>
      <c r="J563">
        <v>1555488</v>
      </c>
      <c r="K563">
        <v>48</v>
      </c>
      <c r="L563">
        <v>13.28</v>
      </c>
      <c r="M563" t="s">
        <v>54</v>
      </c>
      <c r="N563" t="s">
        <v>44</v>
      </c>
      <c r="O563" t="s">
        <v>39</v>
      </c>
      <c r="P563">
        <v>36709.519999999997</v>
      </c>
      <c r="Q563">
        <v>593769.47</v>
      </c>
      <c r="R563" t="s">
        <v>28</v>
      </c>
      <c r="S563" s="1">
        <v>45830</v>
      </c>
    </row>
    <row r="564" spans="1:19" x14ac:dyDescent="0.25">
      <c r="A564" s="5" t="s">
        <v>1165</v>
      </c>
      <c r="B564" s="5" t="s">
        <v>1166</v>
      </c>
      <c r="C564" s="5" t="s">
        <v>21</v>
      </c>
      <c r="D564" s="5">
        <v>35</v>
      </c>
      <c r="E564" s="5" t="s">
        <v>22</v>
      </c>
      <c r="F564" s="5" t="s">
        <v>23</v>
      </c>
      <c r="G564" s="5" t="s">
        <v>33</v>
      </c>
      <c r="H564" s="5">
        <v>468948</v>
      </c>
      <c r="I564">
        <v>849</v>
      </c>
      <c r="J564">
        <v>1917026</v>
      </c>
      <c r="K564">
        <v>120</v>
      </c>
      <c r="L564">
        <v>11.62</v>
      </c>
      <c r="M564" t="s">
        <v>43</v>
      </c>
      <c r="N564" t="s">
        <v>38</v>
      </c>
      <c r="O564" t="s">
        <v>27</v>
      </c>
      <c r="P564">
        <v>17831.54</v>
      </c>
      <c r="Q564">
        <v>263041.51</v>
      </c>
      <c r="R564" t="s">
        <v>28</v>
      </c>
      <c r="S564" s="1">
        <v>45520</v>
      </c>
    </row>
    <row r="565" spans="1:19" x14ac:dyDescent="0.25">
      <c r="A565" s="5" t="s">
        <v>1167</v>
      </c>
      <c r="B565" s="5" t="s">
        <v>1168</v>
      </c>
      <c r="C565" s="5" t="s">
        <v>31</v>
      </c>
      <c r="D565" s="5">
        <v>40</v>
      </c>
      <c r="E565" s="5" t="s">
        <v>32</v>
      </c>
      <c r="F565" s="5" t="s">
        <v>42</v>
      </c>
      <c r="G565" s="5" t="s">
        <v>33</v>
      </c>
      <c r="H565" s="5">
        <v>317246</v>
      </c>
      <c r="I565">
        <v>669</v>
      </c>
      <c r="J565">
        <v>315343</v>
      </c>
      <c r="K565">
        <v>24</v>
      </c>
      <c r="L565">
        <v>8.41</v>
      </c>
      <c r="M565" t="s">
        <v>57</v>
      </c>
      <c r="N565" t="s">
        <v>44</v>
      </c>
      <c r="O565" t="s">
        <v>27</v>
      </c>
      <c r="P565">
        <v>14244.31</v>
      </c>
      <c r="Q565">
        <v>168677.69</v>
      </c>
      <c r="R565" t="s">
        <v>28</v>
      </c>
      <c r="S565" s="1">
        <v>45936</v>
      </c>
    </row>
    <row r="566" spans="1:19" x14ac:dyDescent="0.25">
      <c r="A566" s="5" t="s">
        <v>1169</v>
      </c>
      <c r="B566" s="5" t="s">
        <v>1170</v>
      </c>
      <c r="C566" s="5" t="s">
        <v>31</v>
      </c>
      <c r="D566" s="5">
        <v>42</v>
      </c>
      <c r="E566" s="5" t="s">
        <v>22</v>
      </c>
      <c r="F566" s="5" t="s">
        <v>42</v>
      </c>
      <c r="G566" s="5" t="s">
        <v>24</v>
      </c>
      <c r="H566" s="5">
        <v>690586</v>
      </c>
      <c r="I566">
        <v>660</v>
      </c>
      <c r="J566">
        <v>262828</v>
      </c>
      <c r="K566">
        <v>120</v>
      </c>
      <c r="L566">
        <v>8.99</v>
      </c>
      <c r="M566" t="s">
        <v>57</v>
      </c>
      <c r="N566" t="s">
        <v>44</v>
      </c>
      <c r="O566" t="s">
        <v>27</v>
      </c>
      <c r="P566">
        <v>2387.14</v>
      </c>
      <c r="Q566">
        <v>162501.69</v>
      </c>
      <c r="R566" t="s">
        <v>28</v>
      </c>
      <c r="S566" s="1">
        <v>45987</v>
      </c>
    </row>
    <row r="567" spans="1:19" x14ac:dyDescent="0.25">
      <c r="A567" s="5" t="s">
        <v>1171</v>
      </c>
      <c r="B567" s="5" t="s">
        <v>1172</v>
      </c>
      <c r="C567" s="5" t="s">
        <v>21</v>
      </c>
      <c r="D567" s="5">
        <v>26</v>
      </c>
      <c r="E567" s="5" t="s">
        <v>22</v>
      </c>
      <c r="F567" s="5" t="s">
        <v>42</v>
      </c>
      <c r="G567" s="5" t="s">
        <v>24</v>
      </c>
      <c r="H567" s="5">
        <v>1492798</v>
      </c>
      <c r="I567">
        <v>577</v>
      </c>
      <c r="J567">
        <v>758790</v>
      </c>
      <c r="K567">
        <v>24</v>
      </c>
      <c r="L567">
        <v>10.17</v>
      </c>
      <c r="M567" t="s">
        <v>25</v>
      </c>
      <c r="N567" t="s">
        <v>34</v>
      </c>
      <c r="O567" t="s">
        <v>39</v>
      </c>
      <c r="P567">
        <v>34831.620000000003</v>
      </c>
      <c r="Q567">
        <v>692976.13</v>
      </c>
      <c r="R567" t="s">
        <v>28</v>
      </c>
      <c r="S567" s="1">
        <v>45641</v>
      </c>
    </row>
    <row r="568" spans="1:19" x14ac:dyDescent="0.25">
      <c r="A568" s="5" t="s">
        <v>1173</v>
      </c>
      <c r="B568" s="5" t="s">
        <v>1174</v>
      </c>
      <c r="C568" s="5" t="s">
        <v>31</v>
      </c>
      <c r="D568" s="5">
        <v>43</v>
      </c>
      <c r="E568" s="5" t="s">
        <v>22</v>
      </c>
      <c r="F568" s="5" t="s">
        <v>23</v>
      </c>
      <c r="G568" s="5" t="s">
        <v>33</v>
      </c>
      <c r="H568" s="5">
        <v>1884391</v>
      </c>
      <c r="I568">
        <v>784</v>
      </c>
      <c r="J568">
        <v>1830051</v>
      </c>
      <c r="K568">
        <v>240</v>
      </c>
      <c r="L568">
        <v>8.19</v>
      </c>
      <c r="M568" t="s">
        <v>5</v>
      </c>
      <c r="N568" t="s">
        <v>51</v>
      </c>
      <c r="O568" t="s">
        <v>27</v>
      </c>
      <c r="P568">
        <v>8249.7199999999993</v>
      </c>
      <c r="Q568">
        <v>1446102.73</v>
      </c>
      <c r="R568" t="s">
        <v>28</v>
      </c>
      <c r="S568" s="1">
        <v>45298</v>
      </c>
    </row>
    <row r="569" spans="1:19" x14ac:dyDescent="0.25">
      <c r="A569" s="5" t="s">
        <v>1175</v>
      </c>
      <c r="B569" s="5" t="s">
        <v>1176</v>
      </c>
      <c r="C569" s="5" t="s">
        <v>31</v>
      </c>
      <c r="D569" s="5">
        <v>48</v>
      </c>
      <c r="E569" s="5" t="s">
        <v>22</v>
      </c>
      <c r="F569" s="5" t="s">
        <v>23</v>
      </c>
      <c r="G569" s="5" t="s">
        <v>33</v>
      </c>
      <c r="H569" s="5">
        <v>996997</v>
      </c>
      <c r="I569">
        <v>688</v>
      </c>
      <c r="J569">
        <v>857523</v>
      </c>
      <c r="K569">
        <v>24</v>
      </c>
      <c r="L569">
        <v>13.79</v>
      </c>
      <c r="M569" t="s">
        <v>43</v>
      </c>
      <c r="N569" t="s">
        <v>104</v>
      </c>
      <c r="O569" t="s">
        <v>27</v>
      </c>
      <c r="P569">
        <v>40657.31</v>
      </c>
      <c r="Q569">
        <v>208926.55</v>
      </c>
      <c r="R569" t="s">
        <v>28</v>
      </c>
      <c r="S569" s="1">
        <v>45313</v>
      </c>
    </row>
    <row r="570" spans="1:19" x14ac:dyDescent="0.25">
      <c r="A570" s="5" t="s">
        <v>1177</v>
      </c>
      <c r="B570" s="5" t="s">
        <v>1178</v>
      </c>
      <c r="C570" s="5" t="s">
        <v>31</v>
      </c>
      <c r="D570" s="5">
        <v>58</v>
      </c>
      <c r="E570" s="5" t="s">
        <v>32</v>
      </c>
      <c r="F570" s="5" t="s">
        <v>42</v>
      </c>
      <c r="G570" s="5" t="s">
        <v>33</v>
      </c>
      <c r="H570" s="5">
        <v>553827</v>
      </c>
      <c r="I570">
        <v>693</v>
      </c>
      <c r="J570">
        <v>449464</v>
      </c>
      <c r="K570">
        <v>12</v>
      </c>
      <c r="L570">
        <v>15.44</v>
      </c>
      <c r="M570" t="s">
        <v>43</v>
      </c>
      <c r="N570" t="s">
        <v>38</v>
      </c>
      <c r="O570" t="s">
        <v>27</v>
      </c>
      <c r="P570">
        <v>43238.44</v>
      </c>
      <c r="Q570">
        <v>57997.760000000002</v>
      </c>
      <c r="R570" t="s">
        <v>28</v>
      </c>
      <c r="S570" s="1">
        <v>45298</v>
      </c>
    </row>
    <row r="571" spans="1:19" x14ac:dyDescent="0.25">
      <c r="A571" s="5" t="s">
        <v>1179</v>
      </c>
      <c r="B571" s="5" t="s">
        <v>1180</v>
      </c>
      <c r="C571" s="5" t="s">
        <v>21</v>
      </c>
      <c r="D571" s="5">
        <v>48</v>
      </c>
      <c r="E571" s="5" t="s">
        <v>22</v>
      </c>
      <c r="F571" s="5" t="s">
        <v>42</v>
      </c>
      <c r="G571" s="5" t="s">
        <v>33</v>
      </c>
      <c r="H571" s="5">
        <v>265719</v>
      </c>
      <c r="I571">
        <v>823</v>
      </c>
      <c r="J571">
        <v>855667</v>
      </c>
      <c r="K571">
        <v>60</v>
      </c>
      <c r="L571">
        <v>9.35</v>
      </c>
      <c r="M571" t="s">
        <v>43</v>
      </c>
      <c r="N571" t="s">
        <v>26</v>
      </c>
      <c r="O571" t="s">
        <v>39</v>
      </c>
      <c r="P571">
        <v>15594.53</v>
      </c>
      <c r="Q571">
        <v>845829.12</v>
      </c>
      <c r="R571" t="s">
        <v>28</v>
      </c>
      <c r="S571" s="1">
        <v>45342</v>
      </c>
    </row>
    <row r="572" spans="1:19" x14ac:dyDescent="0.25">
      <c r="A572" s="5" t="s">
        <v>1181</v>
      </c>
      <c r="B572" s="5" t="s">
        <v>1182</v>
      </c>
      <c r="C572" s="5" t="s">
        <v>31</v>
      </c>
      <c r="D572" s="5">
        <v>57</v>
      </c>
      <c r="E572" s="5" t="s">
        <v>22</v>
      </c>
      <c r="F572" s="5" t="s">
        <v>42</v>
      </c>
      <c r="G572" s="5" t="s">
        <v>24</v>
      </c>
      <c r="H572" s="5">
        <v>839642</v>
      </c>
      <c r="I572">
        <v>562</v>
      </c>
      <c r="J572">
        <v>916863</v>
      </c>
      <c r="K572">
        <v>48</v>
      </c>
      <c r="L572">
        <v>13.76</v>
      </c>
      <c r="M572" t="s">
        <v>54</v>
      </c>
      <c r="N572" t="s">
        <v>104</v>
      </c>
      <c r="O572" t="s">
        <v>27</v>
      </c>
      <c r="P572">
        <v>21729.65</v>
      </c>
      <c r="Q572">
        <v>800814.36</v>
      </c>
      <c r="R572" t="s">
        <v>28</v>
      </c>
      <c r="S572" s="1">
        <v>45523</v>
      </c>
    </row>
    <row r="573" spans="1:19" x14ac:dyDescent="0.25">
      <c r="A573" s="5" t="s">
        <v>1183</v>
      </c>
      <c r="B573" s="5" t="s">
        <v>1184</v>
      </c>
      <c r="C573" s="5" t="s">
        <v>31</v>
      </c>
      <c r="D573" s="5">
        <v>28</v>
      </c>
      <c r="E573" s="5" t="s">
        <v>32</v>
      </c>
      <c r="F573" s="5" t="s">
        <v>42</v>
      </c>
      <c r="G573" s="5" t="s">
        <v>24</v>
      </c>
      <c r="H573" s="5">
        <v>655703</v>
      </c>
      <c r="I573">
        <v>768</v>
      </c>
      <c r="J573">
        <v>1260297</v>
      </c>
      <c r="K573">
        <v>48</v>
      </c>
      <c r="L573">
        <v>10.62</v>
      </c>
      <c r="M573" t="s">
        <v>25</v>
      </c>
      <c r="N573" t="s">
        <v>26</v>
      </c>
      <c r="O573" t="s">
        <v>27</v>
      </c>
      <c r="P573">
        <v>29044.59</v>
      </c>
      <c r="Q573">
        <v>397141.72</v>
      </c>
      <c r="R573" t="s">
        <v>28</v>
      </c>
      <c r="S573" s="1">
        <v>45639</v>
      </c>
    </row>
    <row r="574" spans="1:19" x14ac:dyDescent="0.25">
      <c r="A574" s="5" t="s">
        <v>1185</v>
      </c>
      <c r="B574" s="5" t="s">
        <v>1186</v>
      </c>
      <c r="C574" s="5" t="s">
        <v>31</v>
      </c>
      <c r="D574" s="5">
        <v>23</v>
      </c>
      <c r="E574" s="5" t="s">
        <v>22</v>
      </c>
      <c r="F574" s="5" t="s">
        <v>42</v>
      </c>
      <c r="G574" s="5" t="s">
        <v>24</v>
      </c>
      <c r="H574" s="5">
        <v>765940</v>
      </c>
      <c r="I574">
        <v>691</v>
      </c>
      <c r="J574">
        <v>300585</v>
      </c>
      <c r="K574">
        <v>36</v>
      </c>
      <c r="L574">
        <v>13.73</v>
      </c>
      <c r="M574" t="s">
        <v>43</v>
      </c>
      <c r="N574" t="s">
        <v>44</v>
      </c>
      <c r="O574" t="s">
        <v>27</v>
      </c>
      <c r="P574">
        <v>9495.98</v>
      </c>
      <c r="Q574">
        <v>271424.58</v>
      </c>
      <c r="R574" t="s">
        <v>28</v>
      </c>
      <c r="S574" s="1">
        <v>45447</v>
      </c>
    </row>
    <row r="575" spans="1:19" x14ac:dyDescent="0.25">
      <c r="A575" s="5" t="s">
        <v>1187</v>
      </c>
      <c r="B575" s="5" t="s">
        <v>1188</v>
      </c>
      <c r="C575" s="5" t="s">
        <v>21</v>
      </c>
      <c r="D575" s="5">
        <v>50</v>
      </c>
      <c r="E575" s="5" t="s">
        <v>32</v>
      </c>
      <c r="F575" s="5" t="s">
        <v>42</v>
      </c>
      <c r="G575" s="5" t="s">
        <v>24</v>
      </c>
      <c r="H575" s="5">
        <v>1640005</v>
      </c>
      <c r="I575">
        <v>564</v>
      </c>
      <c r="J575">
        <v>210324</v>
      </c>
      <c r="K575">
        <v>120</v>
      </c>
      <c r="L575">
        <v>9.99</v>
      </c>
      <c r="M575" t="s">
        <v>57</v>
      </c>
      <c r="N575" t="s">
        <v>26</v>
      </c>
      <c r="O575" t="s">
        <v>39</v>
      </c>
      <c r="P575">
        <v>1927.79</v>
      </c>
      <c r="Q575">
        <v>186466.78</v>
      </c>
      <c r="R575" t="s">
        <v>28</v>
      </c>
      <c r="S575" s="1">
        <v>45872</v>
      </c>
    </row>
    <row r="576" spans="1:19" x14ac:dyDescent="0.25">
      <c r="A576" s="5" t="s">
        <v>1189</v>
      </c>
      <c r="B576" s="5" t="s">
        <v>1190</v>
      </c>
      <c r="C576" s="5" t="s">
        <v>21</v>
      </c>
      <c r="D576" s="5">
        <v>30</v>
      </c>
      <c r="E576" s="5" t="s">
        <v>32</v>
      </c>
      <c r="F576" s="5" t="s">
        <v>23</v>
      </c>
      <c r="G576" s="5" t="s">
        <v>33</v>
      </c>
      <c r="H576" s="5">
        <v>677157</v>
      </c>
      <c r="I576">
        <v>807</v>
      </c>
      <c r="J576">
        <v>1806004</v>
      </c>
      <c r="K576">
        <v>12</v>
      </c>
      <c r="L576">
        <v>9.98</v>
      </c>
      <c r="M576" t="s">
        <v>54</v>
      </c>
      <c r="N576" t="s">
        <v>34</v>
      </c>
      <c r="O576" t="s">
        <v>27</v>
      </c>
      <c r="P576">
        <v>165520.26999999999</v>
      </c>
      <c r="Q576">
        <v>667402.69999999995</v>
      </c>
      <c r="R576" t="s">
        <v>28</v>
      </c>
      <c r="S576" s="1">
        <v>45850</v>
      </c>
    </row>
    <row r="577" spans="1:19" x14ac:dyDescent="0.25">
      <c r="A577" s="5" t="s">
        <v>1191</v>
      </c>
      <c r="B577" s="5" t="s">
        <v>1192</v>
      </c>
      <c r="C577" s="5" t="s">
        <v>21</v>
      </c>
      <c r="D577" s="5">
        <v>54</v>
      </c>
      <c r="E577" s="5" t="s">
        <v>32</v>
      </c>
      <c r="F577" s="5" t="s">
        <v>23</v>
      </c>
      <c r="G577" s="5" t="s">
        <v>33</v>
      </c>
      <c r="H577" s="5">
        <v>1914698</v>
      </c>
      <c r="I577">
        <v>663</v>
      </c>
      <c r="J577">
        <v>437604</v>
      </c>
      <c r="K577">
        <v>48</v>
      </c>
      <c r="L577">
        <v>15.05</v>
      </c>
      <c r="M577" t="s">
        <v>5</v>
      </c>
      <c r="N577" t="s">
        <v>104</v>
      </c>
      <c r="O577" t="s">
        <v>27</v>
      </c>
      <c r="P577">
        <v>10488.82</v>
      </c>
      <c r="Q577">
        <v>407922.39</v>
      </c>
      <c r="R577" t="s">
        <v>28</v>
      </c>
      <c r="S577" s="1">
        <v>45896</v>
      </c>
    </row>
    <row r="578" spans="1:19" x14ac:dyDescent="0.25">
      <c r="A578" s="5" t="s">
        <v>1193</v>
      </c>
      <c r="B578" s="5" t="s">
        <v>1194</v>
      </c>
      <c r="C578" s="5" t="s">
        <v>31</v>
      </c>
      <c r="D578" s="5">
        <v>52</v>
      </c>
      <c r="E578" s="5" t="s">
        <v>22</v>
      </c>
      <c r="F578" s="5" t="s">
        <v>23</v>
      </c>
      <c r="G578" s="5" t="s">
        <v>33</v>
      </c>
      <c r="H578" s="5">
        <v>894006</v>
      </c>
      <c r="I578">
        <v>816</v>
      </c>
      <c r="J578">
        <v>1550310</v>
      </c>
      <c r="K578">
        <v>60</v>
      </c>
      <c r="L578">
        <v>15.39</v>
      </c>
      <c r="M578" t="s">
        <v>43</v>
      </c>
      <c r="N578" t="s">
        <v>34</v>
      </c>
      <c r="O578" t="s">
        <v>27</v>
      </c>
      <c r="P578">
        <v>29815.05</v>
      </c>
      <c r="Q578">
        <v>433250.86</v>
      </c>
      <c r="R578" t="s">
        <v>28</v>
      </c>
      <c r="S578" s="1">
        <v>45742</v>
      </c>
    </row>
    <row r="579" spans="1:19" x14ac:dyDescent="0.25">
      <c r="A579" s="5" t="s">
        <v>1195</v>
      </c>
      <c r="B579" s="5" t="s">
        <v>1196</v>
      </c>
      <c r="C579" s="5" t="s">
        <v>31</v>
      </c>
      <c r="D579" s="5">
        <v>24</v>
      </c>
      <c r="E579" s="5" t="s">
        <v>32</v>
      </c>
      <c r="F579" s="5" t="s">
        <v>42</v>
      </c>
      <c r="G579" s="5" t="s">
        <v>24</v>
      </c>
      <c r="H579" s="5">
        <v>329596</v>
      </c>
      <c r="I579">
        <v>677</v>
      </c>
      <c r="J579">
        <v>1823367</v>
      </c>
      <c r="K579">
        <v>24</v>
      </c>
      <c r="L579">
        <v>13.97</v>
      </c>
      <c r="M579" t="s">
        <v>5</v>
      </c>
      <c r="N579" t="s">
        <v>34</v>
      </c>
      <c r="O579" t="s">
        <v>27</v>
      </c>
      <c r="P579">
        <v>86587.14</v>
      </c>
      <c r="Q579">
        <v>1674581.12</v>
      </c>
      <c r="R579" t="s">
        <v>28</v>
      </c>
      <c r="S579" s="1">
        <v>45582</v>
      </c>
    </row>
    <row r="580" spans="1:19" x14ac:dyDescent="0.25">
      <c r="A580" s="5" t="s">
        <v>1197</v>
      </c>
      <c r="B580" s="5" t="s">
        <v>1198</v>
      </c>
      <c r="C580" s="5" t="s">
        <v>21</v>
      </c>
      <c r="D580" s="5">
        <v>34</v>
      </c>
      <c r="E580" s="5" t="s">
        <v>22</v>
      </c>
      <c r="F580" s="5" t="s">
        <v>23</v>
      </c>
      <c r="G580" s="5" t="s">
        <v>33</v>
      </c>
      <c r="H580" s="5">
        <v>1918732</v>
      </c>
      <c r="I580">
        <v>727</v>
      </c>
      <c r="J580">
        <v>1064489</v>
      </c>
      <c r="K580">
        <v>12</v>
      </c>
      <c r="L580">
        <v>11.43</v>
      </c>
      <c r="M580" t="s">
        <v>54</v>
      </c>
      <c r="N580" t="s">
        <v>34</v>
      </c>
      <c r="O580" t="s">
        <v>27</v>
      </c>
      <c r="P580">
        <v>98846.67</v>
      </c>
      <c r="Q580">
        <v>476879.9</v>
      </c>
      <c r="R580" t="s">
        <v>28</v>
      </c>
      <c r="S580" s="1">
        <v>45718</v>
      </c>
    </row>
    <row r="581" spans="1:19" x14ac:dyDescent="0.25">
      <c r="A581" s="5" t="s">
        <v>1199</v>
      </c>
      <c r="B581" s="5" t="s">
        <v>1200</v>
      </c>
      <c r="C581" s="5" t="s">
        <v>21</v>
      </c>
      <c r="D581" s="5">
        <v>30</v>
      </c>
      <c r="E581" s="5" t="s">
        <v>22</v>
      </c>
      <c r="F581" s="5" t="s">
        <v>42</v>
      </c>
      <c r="G581" s="5" t="s">
        <v>24</v>
      </c>
      <c r="H581" s="5">
        <v>1368087</v>
      </c>
      <c r="I581">
        <v>606</v>
      </c>
      <c r="J581">
        <v>808678</v>
      </c>
      <c r="K581">
        <v>84</v>
      </c>
      <c r="L581">
        <v>14.04</v>
      </c>
      <c r="M581" t="s">
        <v>57</v>
      </c>
      <c r="N581" t="s">
        <v>44</v>
      </c>
      <c r="O581" t="s">
        <v>27</v>
      </c>
      <c r="P581">
        <v>10978.77</v>
      </c>
      <c r="Q581">
        <v>243492.85</v>
      </c>
      <c r="R581" t="s">
        <v>35</v>
      </c>
      <c r="S581" s="1">
        <v>45934</v>
      </c>
    </row>
    <row r="582" spans="1:19" x14ac:dyDescent="0.25">
      <c r="A582" s="5" t="s">
        <v>1201</v>
      </c>
      <c r="B582" s="5" t="s">
        <v>1202</v>
      </c>
      <c r="C582" s="5" t="s">
        <v>31</v>
      </c>
      <c r="D582" s="5">
        <v>40</v>
      </c>
      <c r="E582" s="5" t="s">
        <v>32</v>
      </c>
      <c r="F582" s="5" t="s">
        <v>23</v>
      </c>
      <c r="G582" s="5" t="s">
        <v>33</v>
      </c>
      <c r="H582" s="5">
        <v>1250525</v>
      </c>
      <c r="I582">
        <v>711</v>
      </c>
      <c r="J582">
        <v>736800</v>
      </c>
      <c r="K582">
        <v>12</v>
      </c>
      <c r="L582">
        <v>14.31</v>
      </c>
      <c r="M582" t="s">
        <v>43</v>
      </c>
      <c r="N582" t="s">
        <v>44</v>
      </c>
      <c r="O582" t="s">
        <v>27</v>
      </c>
      <c r="P582">
        <v>70186.34</v>
      </c>
      <c r="Q582">
        <v>208126.11</v>
      </c>
      <c r="R582" t="s">
        <v>28</v>
      </c>
      <c r="S582" s="1">
        <v>45530</v>
      </c>
    </row>
    <row r="583" spans="1:19" x14ac:dyDescent="0.25">
      <c r="A583" s="5" t="s">
        <v>1203</v>
      </c>
      <c r="B583" s="5" t="s">
        <v>1204</v>
      </c>
      <c r="C583" s="5" t="s">
        <v>21</v>
      </c>
      <c r="D583" s="5">
        <v>24</v>
      </c>
      <c r="E583" s="5" t="s">
        <v>32</v>
      </c>
      <c r="F583" s="5" t="s">
        <v>23</v>
      </c>
      <c r="G583" s="5" t="s">
        <v>24</v>
      </c>
      <c r="H583" s="5">
        <v>1723476</v>
      </c>
      <c r="I583">
        <v>820</v>
      </c>
      <c r="J583">
        <v>1877495</v>
      </c>
      <c r="K583">
        <v>180</v>
      </c>
      <c r="L583">
        <v>13.31</v>
      </c>
      <c r="M583" t="s">
        <v>25</v>
      </c>
      <c r="N583" t="s">
        <v>26</v>
      </c>
      <c r="O583" t="s">
        <v>27</v>
      </c>
      <c r="P583">
        <v>11818.83</v>
      </c>
      <c r="Q583">
        <v>212510.68</v>
      </c>
      <c r="R583" t="s">
        <v>28</v>
      </c>
      <c r="S583" s="1">
        <v>45434</v>
      </c>
    </row>
    <row r="584" spans="1:19" x14ac:dyDescent="0.25">
      <c r="A584" s="5" t="s">
        <v>1205</v>
      </c>
      <c r="B584" s="5" t="s">
        <v>1206</v>
      </c>
      <c r="C584" s="5" t="s">
        <v>21</v>
      </c>
      <c r="D584" s="5">
        <v>59</v>
      </c>
      <c r="E584" s="5" t="s">
        <v>32</v>
      </c>
      <c r="F584" s="5" t="s">
        <v>42</v>
      </c>
      <c r="G584" s="5" t="s">
        <v>33</v>
      </c>
      <c r="H584" s="5">
        <v>1668204</v>
      </c>
      <c r="I584">
        <v>786</v>
      </c>
      <c r="J584">
        <v>272246</v>
      </c>
      <c r="K584">
        <v>180</v>
      </c>
      <c r="L584">
        <v>8.2799999999999994</v>
      </c>
      <c r="M584" t="s">
        <v>57</v>
      </c>
      <c r="N584" t="s">
        <v>44</v>
      </c>
      <c r="O584" t="s">
        <v>27</v>
      </c>
      <c r="P584">
        <v>1637.71</v>
      </c>
      <c r="Q584">
        <v>270207.78000000003</v>
      </c>
      <c r="R584" t="s">
        <v>28</v>
      </c>
      <c r="S584" s="1">
        <v>45789</v>
      </c>
    </row>
    <row r="585" spans="1:19" x14ac:dyDescent="0.25">
      <c r="A585" s="5" t="s">
        <v>1207</v>
      </c>
      <c r="B585" s="5" t="s">
        <v>1208</v>
      </c>
      <c r="C585" s="5" t="s">
        <v>21</v>
      </c>
      <c r="D585" s="5">
        <v>57</v>
      </c>
      <c r="E585" s="5" t="s">
        <v>32</v>
      </c>
      <c r="F585" s="5" t="s">
        <v>42</v>
      </c>
      <c r="G585" s="5" t="s">
        <v>33</v>
      </c>
      <c r="H585" s="5">
        <v>1886640</v>
      </c>
      <c r="I585">
        <v>608</v>
      </c>
      <c r="J585">
        <v>310590</v>
      </c>
      <c r="K585">
        <v>180</v>
      </c>
      <c r="L585">
        <v>12.83</v>
      </c>
      <c r="M585" t="s">
        <v>25</v>
      </c>
      <c r="N585" t="s">
        <v>51</v>
      </c>
      <c r="O585" t="s">
        <v>27</v>
      </c>
      <c r="P585">
        <v>1946.88</v>
      </c>
      <c r="Q585">
        <v>282342.45</v>
      </c>
      <c r="R585" t="s">
        <v>35</v>
      </c>
      <c r="S585" s="1">
        <v>45361</v>
      </c>
    </row>
    <row r="586" spans="1:19" x14ac:dyDescent="0.25">
      <c r="A586" s="5" t="s">
        <v>1209</v>
      </c>
      <c r="B586" s="5" t="s">
        <v>1210</v>
      </c>
      <c r="C586" s="5" t="s">
        <v>21</v>
      </c>
      <c r="D586" s="5">
        <v>29</v>
      </c>
      <c r="E586" s="5" t="s">
        <v>32</v>
      </c>
      <c r="F586" s="5" t="s">
        <v>23</v>
      </c>
      <c r="G586" s="5" t="s">
        <v>24</v>
      </c>
      <c r="H586" s="5">
        <v>517811</v>
      </c>
      <c r="I586">
        <v>559</v>
      </c>
      <c r="J586">
        <v>844743</v>
      </c>
      <c r="K586">
        <v>36</v>
      </c>
      <c r="L586">
        <v>12.33</v>
      </c>
      <c r="M586" t="s">
        <v>57</v>
      </c>
      <c r="N586" t="s">
        <v>38</v>
      </c>
      <c r="O586" t="s">
        <v>27</v>
      </c>
      <c r="P586">
        <v>26358.33</v>
      </c>
      <c r="Q586">
        <v>387547.81</v>
      </c>
      <c r="R586" t="s">
        <v>35</v>
      </c>
      <c r="S586" s="1">
        <v>45462</v>
      </c>
    </row>
    <row r="587" spans="1:19" x14ac:dyDescent="0.25">
      <c r="A587" s="5" t="s">
        <v>1211</v>
      </c>
      <c r="B587" s="5" t="s">
        <v>1212</v>
      </c>
      <c r="C587" s="5" t="s">
        <v>31</v>
      </c>
      <c r="D587" s="5">
        <v>34</v>
      </c>
      <c r="E587" s="5" t="s">
        <v>32</v>
      </c>
      <c r="F587" s="5" t="s">
        <v>42</v>
      </c>
      <c r="G587" s="5" t="s">
        <v>24</v>
      </c>
      <c r="H587" s="5">
        <v>1711775</v>
      </c>
      <c r="I587">
        <v>727</v>
      </c>
      <c r="J587">
        <v>672623</v>
      </c>
      <c r="K587">
        <v>48</v>
      </c>
      <c r="L587">
        <v>13.03</v>
      </c>
      <c r="M587" t="s">
        <v>5</v>
      </c>
      <c r="N587" t="s">
        <v>104</v>
      </c>
      <c r="O587" t="s">
        <v>27</v>
      </c>
      <c r="P587">
        <v>15838.87</v>
      </c>
      <c r="Q587">
        <v>379772.2</v>
      </c>
      <c r="R587" t="s">
        <v>28</v>
      </c>
      <c r="S587" s="1">
        <v>45296</v>
      </c>
    </row>
    <row r="588" spans="1:19" x14ac:dyDescent="0.25">
      <c r="A588" s="5" t="s">
        <v>1213</v>
      </c>
      <c r="B588" s="5" t="s">
        <v>1214</v>
      </c>
      <c r="C588" s="5" t="s">
        <v>31</v>
      </c>
      <c r="D588" s="5">
        <v>57</v>
      </c>
      <c r="E588" s="5" t="s">
        <v>32</v>
      </c>
      <c r="F588" s="5" t="s">
        <v>42</v>
      </c>
      <c r="G588" s="5" t="s">
        <v>33</v>
      </c>
      <c r="H588" s="5">
        <v>806208</v>
      </c>
      <c r="I588">
        <v>713</v>
      </c>
      <c r="J588">
        <v>1913634</v>
      </c>
      <c r="K588">
        <v>48</v>
      </c>
      <c r="L588">
        <v>8.0299999999999994</v>
      </c>
      <c r="M588" t="s">
        <v>25</v>
      </c>
      <c r="N588" t="s">
        <v>104</v>
      </c>
      <c r="O588" t="s">
        <v>27</v>
      </c>
      <c r="P588">
        <v>43068.73</v>
      </c>
      <c r="Q588">
        <v>202500.67</v>
      </c>
      <c r="R588" t="s">
        <v>28</v>
      </c>
      <c r="S588" s="1">
        <v>45538</v>
      </c>
    </row>
    <row r="589" spans="1:19" x14ac:dyDescent="0.25">
      <c r="A589" s="5" t="s">
        <v>1215</v>
      </c>
      <c r="B589" s="5" t="s">
        <v>1216</v>
      </c>
      <c r="C589" s="5" t="s">
        <v>31</v>
      </c>
      <c r="D589" s="5">
        <v>60</v>
      </c>
      <c r="E589" s="5" t="s">
        <v>22</v>
      </c>
      <c r="F589" s="5" t="s">
        <v>42</v>
      </c>
      <c r="G589" s="5" t="s">
        <v>33</v>
      </c>
      <c r="H589" s="5">
        <v>1410172</v>
      </c>
      <c r="I589">
        <v>789</v>
      </c>
      <c r="J589">
        <v>1448051</v>
      </c>
      <c r="K589">
        <v>180</v>
      </c>
      <c r="L589">
        <v>13.96</v>
      </c>
      <c r="M589" t="s">
        <v>57</v>
      </c>
      <c r="N589" t="s">
        <v>34</v>
      </c>
      <c r="O589" t="s">
        <v>27</v>
      </c>
      <c r="P589">
        <v>9167.77</v>
      </c>
      <c r="Q589">
        <v>672254.71</v>
      </c>
      <c r="R589" t="s">
        <v>28</v>
      </c>
      <c r="S589" s="1">
        <v>45955</v>
      </c>
    </row>
    <row r="590" spans="1:19" x14ac:dyDescent="0.25">
      <c r="A590" s="5" t="s">
        <v>1217</v>
      </c>
      <c r="B590" s="5" t="s">
        <v>1218</v>
      </c>
      <c r="C590" s="5" t="s">
        <v>21</v>
      </c>
      <c r="D590" s="5">
        <v>32</v>
      </c>
      <c r="E590" s="5" t="s">
        <v>32</v>
      </c>
      <c r="F590" s="5" t="s">
        <v>23</v>
      </c>
      <c r="G590" s="5" t="s">
        <v>33</v>
      </c>
      <c r="H590" s="5">
        <v>1927331</v>
      </c>
      <c r="I590">
        <v>827</v>
      </c>
      <c r="J590">
        <v>1694281</v>
      </c>
      <c r="K590">
        <v>12</v>
      </c>
      <c r="L590">
        <v>13.97</v>
      </c>
      <c r="M590" t="s">
        <v>54</v>
      </c>
      <c r="N590" t="s">
        <v>26</v>
      </c>
      <c r="O590" t="s">
        <v>27</v>
      </c>
      <c r="P590">
        <v>160914.34</v>
      </c>
      <c r="Q590">
        <v>284426.52</v>
      </c>
      <c r="R590" t="s">
        <v>28</v>
      </c>
      <c r="S590" s="1">
        <v>45456</v>
      </c>
    </row>
    <row r="591" spans="1:19" x14ac:dyDescent="0.25">
      <c r="A591" s="5" t="s">
        <v>1219</v>
      </c>
      <c r="B591" s="5" t="s">
        <v>1220</v>
      </c>
      <c r="C591" s="5" t="s">
        <v>31</v>
      </c>
      <c r="D591" s="5">
        <v>31</v>
      </c>
      <c r="E591" s="5" t="s">
        <v>32</v>
      </c>
      <c r="F591" s="5" t="s">
        <v>42</v>
      </c>
      <c r="G591" s="5" t="s">
        <v>33</v>
      </c>
      <c r="H591" s="5">
        <v>297489</v>
      </c>
      <c r="I591">
        <v>706</v>
      </c>
      <c r="J591">
        <v>215198</v>
      </c>
      <c r="K591">
        <v>84</v>
      </c>
      <c r="L591">
        <v>11.97</v>
      </c>
      <c r="M591" t="s">
        <v>57</v>
      </c>
      <c r="N591" t="s">
        <v>26</v>
      </c>
      <c r="O591" t="s">
        <v>39</v>
      </c>
      <c r="P591">
        <v>2868.54</v>
      </c>
      <c r="Q591">
        <v>142300.28</v>
      </c>
      <c r="R591" t="s">
        <v>28</v>
      </c>
      <c r="S591" s="1">
        <v>45361</v>
      </c>
    </row>
    <row r="592" spans="1:19" x14ac:dyDescent="0.25">
      <c r="A592" s="5" t="s">
        <v>1221</v>
      </c>
      <c r="B592" s="5" t="s">
        <v>1222</v>
      </c>
      <c r="C592" s="5" t="s">
        <v>31</v>
      </c>
      <c r="D592" s="5">
        <v>24</v>
      </c>
      <c r="E592" s="5" t="s">
        <v>22</v>
      </c>
      <c r="F592" s="5" t="s">
        <v>23</v>
      </c>
      <c r="G592" s="5" t="s">
        <v>24</v>
      </c>
      <c r="H592" s="5">
        <v>1259142</v>
      </c>
      <c r="I592">
        <v>725</v>
      </c>
      <c r="J592">
        <v>844098</v>
      </c>
      <c r="K592">
        <v>84</v>
      </c>
      <c r="L592">
        <v>12.8</v>
      </c>
      <c r="M592" t="s">
        <v>43</v>
      </c>
      <c r="N592" t="s">
        <v>34</v>
      </c>
      <c r="O592" t="s">
        <v>27</v>
      </c>
      <c r="P592">
        <v>11335.03</v>
      </c>
      <c r="Q592">
        <v>297555.59999999998</v>
      </c>
      <c r="R592" t="s">
        <v>28</v>
      </c>
      <c r="S592" s="1">
        <v>45897</v>
      </c>
    </row>
    <row r="593" spans="1:19" x14ac:dyDescent="0.25">
      <c r="A593" s="5" t="s">
        <v>1223</v>
      </c>
      <c r="B593" s="5" t="s">
        <v>1224</v>
      </c>
      <c r="C593" s="5" t="s">
        <v>31</v>
      </c>
      <c r="D593" s="5">
        <v>30</v>
      </c>
      <c r="E593" s="5" t="s">
        <v>32</v>
      </c>
      <c r="F593" s="5" t="s">
        <v>42</v>
      </c>
      <c r="G593" s="5" t="s">
        <v>33</v>
      </c>
      <c r="H593" s="5">
        <v>869796</v>
      </c>
      <c r="I593">
        <v>626</v>
      </c>
      <c r="J593">
        <v>1459559</v>
      </c>
      <c r="K593">
        <v>24</v>
      </c>
      <c r="L593">
        <v>10.07</v>
      </c>
      <c r="M593" t="s">
        <v>43</v>
      </c>
      <c r="N593" t="s">
        <v>51</v>
      </c>
      <c r="O593" t="s">
        <v>27</v>
      </c>
      <c r="P593">
        <v>66939.02</v>
      </c>
      <c r="Q593">
        <v>822146.96</v>
      </c>
      <c r="R593" t="s">
        <v>28</v>
      </c>
      <c r="S593" s="1">
        <v>45936</v>
      </c>
    </row>
    <row r="594" spans="1:19" x14ac:dyDescent="0.25">
      <c r="A594" s="5" t="s">
        <v>1225</v>
      </c>
      <c r="B594" s="5" t="s">
        <v>1226</v>
      </c>
      <c r="C594" s="5" t="s">
        <v>31</v>
      </c>
      <c r="D594" s="5">
        <v>54</v>
      </c>
      <c r="E594" s="5" t="s">
        <v>32</v>
      </c>
      <c r="F594" s="5" t="s">
        <v>42</v>
      </c>
      <c r="G594" s="5" t="s">
        <v>33</v>
      </c>
      <c r="H594" s="5">
        <v>407998</v>
      </c>
      <c r="I594">
        <v>652</v>
      </c>
      <c r="J594">
        <v>1814197</v>
      </c>
      <c r="K594">
        <v>24</v>
      </c>
      <c r="L594">
        <v>7.91</v>
      </c>
      <c r="M594" t="s">
        <v>57</v>
      </c>
      <c r="N594" t="s">
        <v>34</v>
      </c>
      <c r="O594" t="s">
        <v>27</v>
      </c>
      <c r="P594">
        <v>81570.83</v>
      </c>
      <c r="Q594">
        <v>1275868.2</v>
      </c>
      <c r="R594" t="s">
        <v>28</v>
      </c>
      <c r="S594" s="1">
        <v>45384</v>
      </c>
    </row>
    <row r="595" spans="1:19" x14ac:dyDescent="0.25">
      <c r="A595" s="5" t="s">
        <v>1227</v>
      </c>
      <c r="B595" s="5" t="s">
        <v>1228</v>
      </c>
      <c r="C595" s="5" t="s">
        <v>21</v>
      </c>
      <c r="D595" s="5">
        <v>35</v>
      </c>
      <c r="E595" s="5" t="s">
        <v>32</v>
      </c>
      <c r="F595" s="5" t="s">
        <v>23</v>
      </c>
      <c r="G595" s="5" t="s">
        <v>33</v>
      </c>
      <c r="H595" s="5">
        <v>1194831</v>
      </c>
      <c r="I595">
        <v>820</v>
      </c>
      <c r="J595">
        <v>1445252</v>
      </c>
      <c r="K595">
        <v>36</v>
      </c>
      <c r="L595">
        <v>13.7</v>
      </c>
      <c r="M595" t="s">
        <v>57</v>
      </c>
      <c r="N595" t="s">
        <v>44</v>
      </c>
      <c r="O595" t="s">
        <v>27</v>
      </c>
      <c r="P595">
        <v>45645.88</v>
      </c>
      <c r="Q595">
        <v>937018.72</v>
      </c>
      <c r="R595" t="s">
        <v>28</v>
      </c>
      <c r="S595" s="1">
        <v>45823</v>
      </c>
    </row>
    <row r="596" spans="1:19" x14ac:dyDescent="0.25">
      <c r="A596" s="5" t="s">
        <v>1229</v>
      </c>
      <c r="B596" s="5" t="s">
        <v>1230</v>
      </c>
      <c r="C596" s="5" t="s">
        <v>31</v>
      </c>
      <c r="D596" s="5">
        <v>57</v>
      </c>
      <c r="E596" s="5" t="s">
        <v>22</v>
      </c>
      <c r="F596" s="5" t="s">
        <v>23</v>
      </c>
      <c r="G596" s="5" t="s">
        <v>24</v>
      </c>
      <c r="H596" s="5">
        <v>623384</v>
      </c>
      <c r="I596">
        <v>607</v>
      </c>
      <c r="J596">
        <v>1857766</v>
      </c>
      <c r="K596">
        <v>120</v>
      </c>
      <c r="L596">
        <v>14.31</v>
      </c>
      <c r="M596" t="s">
        <v>54</v>
      </c>
      <c r="N596" t="s">
        <v>38</v>
      </c>
      <c r="O596" t="s">
        <v>27</v>
      </c>
      <c r="P596">
        <v>17696.77</v>
      </c>
      <c r="Q596">
        <v>1742919.78</v>
      </c>
      <c r="R596" t="s">
        <v>28</v>
      </c>
      <c r="S596" s="1">
        <v>45362</v>
      </c>
    </row>
    <row r="597" spans="1:19" x14ac:dyDescent="0.25">
      <c r="A597" s="5" t="s">
        <v>1231</v>
      </c>
      <c r="B597" s="5" t="s">
        <v>1232</v>
      </c>
      <c r="C597" s="5" t="s">
        <v>21</v>
      </c>
      <c r="D597" s="5">
        <v>22</v>
      </c>
      <c r="E597" s="5" t="s">
        <v>32</v>
      </c>
      <c r="F597" s="5" t="s">
        <v>42</v>
      </c>
      <c r="G597" s="5" t="s">
        <v>24</v>
      </c>
      <c r="H597" s="5">
        <v>1353144</v>
      </c>
      <c r="I597">
        <v>611</v>
      </c>
      <c r="J597">
        <v>957414</v>
      </c>
      <c r="K597">
        <v>36</v>
      </c>
      <c r="L597">
        <v>10.65</v>
      </c>
      <c r="M597" t="s">
        <v>5</v>
      </c>
      <c r="N597" t="s">
        <v>26</v>
      </c>
      <c r="O597" t="s">
        <v>39</v>
      </c>
      <c r="P597">
        <v>29427.18</v>
      </c>
      <c r="Q597">
        <v>803136.73</v>
      </c>
      <c r="R597" t="s">
        <v>28</v>
      </c>
      <c r="S597" s="1">
        <v>45819</v>
      </c>
    </row>
    <row r="598" spans="1:19" x14ac:dyDescent="0.25">
      <c r="A598" s="5" t="s">
        <v>1233</v>
      </c>
      <c r="B598" s="5" t="s">
        <v>1234</v>
      </c>
      <c r="C598" s="5" t="s">
        <v>21</v>
      </c>
      <c r="D598" s="5">
        <v>59</v>
      </c>
      <c r="E598" s="5" t="s">
        <v>32</v>
      </c>
      <c r="F598" s="5" t="s">
        <v>23</v>
      </c>
      <c r="G598" s="5" t="s">
        <v>24</v>
      </c>
      <c r="H598" s="5">
        <v>1472739</v>
      </c>
      <c r="I598">
        <v>625</v>
      </c>
      <c r="J598">
        <v>321053</v>
      </c>
      <c r="K598">
        <v>180</v>
      </c>
      <c r="L598">
        <v>12.6</v>
      </c>
      <c r="M598" t="s">
        <v>54</v>
      </c>
      <c r="N598" t="s">
        <v>51</v>
      </c>
      <c r="O598" t="s">
        <v>27</v>
      </c>
      <c r="P598">
        <v>2008.36</v>
      </c>
      <c r="Q598">
        <v>213996.12</v>
      </c>
      <c r="R598" t="s">
        <v>28</v>
      </c>
      <c r="S598" s="1">
        <v>45578</v>
      </c>
    </row>
    <row r="599" spans="1:19" x14ac:dyDescent="0.25">
      <c r="A599" s="5" t="s">
        <v>1235</v>
      </c>
      <c r="B599" s="5" t="s">
        <v>1236</v>
      </c>
      <c r="C599" s="5" t="s">
        <v>31</v>
      </c>
      <c r="D599" s="5">
        <v>54</v>
      </c>
      <c r="E599" s="5" t="s">
        <v>22</v>
      </c>
      <c r="F599" s="5" t="s">
        <v>42</v>
      </c>
      <c r="G599" s="5" t="s">
        <v>24</v>
      </c>
      <c r="H599" s="5">
        <v>1839788</v>
      </c>
      <c r="I599">
        <v>848</v>
      </c>
      <c r="J599">
        <v>1113479</v>
      </c>
      <c r="K599">
        <v>180</v>
      </c>
      <c r="L599">
        <v>11.86</v>
      </c>
      <c r="M599" t="s">
        <v>43</v>
      </c>
      <c r="N599" t="s">
        <v>34</v>
      </c>
      <c r="O599" t="s">
        <v>27</v>
      </c>
      <c r="P599">
        <v>6919.65</v>
      </c>
      <c r="Q599">
        <v>473166.95</v>
      </c>
      <c r="R599" t="s">
        <v>28</v>
      </c>
      <c r="S599" s="1">
        <v>45749</v>
      </c>
    </row>
    <row r="600" spans="1:19" x14ac:dyDescent="0.25">
      <c r="A600" s="5" t="s">
        <v>1237</v>
      </c>
      <c r="B600" s="5" t="s">
        <v>1238</v>
      </c>
      <c r="C600" s="5" t="s">
        <v>31</v>
      </c>
      <c r="D600" s="5">
        <v>42</v>
      </c>
      <c r="E600" s="5" t="s">
        <v>32</v>
      </c>
      <c r="F600" s="5" t="s">
        <v>23</v>
      </c>
      <c r="G600" s="5" t="s">
        <v>24</v>
      </c>
      <c r="H600" s="5">
        <v>1979114</v>
      </c>
      <c r="I600">
        <v>589</v>
      </c>
      <c r="J600">
        <v>1354163</v>
      </c>
      <c r="K600">
        <v>180</v>
      </c>
      <c r="L600">
        <v>8.17</v>
      </c>
      <c r="M600" t="s">
        <v>54</v>
      </c>
      <c r="N600" t="s">
        <v>38</v>
      </c>
      <c r="O600" t="s">
        <v>27</v>
      </c>
      <c r="P600">
        <v>8137.77</v>
      </c>
      <c r="Q600">
        <v>947272.91</v>
      </c>
      <c r="R600" t="s">
        <v>28</v>
      </c>
      <c r="S600" s="1">
        <v>46015</v>
      </c>
    </row>
    <row r="601" spans="1:19" x14ac:dyDescent="0.25">
      <c r="A601" s="5" t="s">
        <v>1239</v>
      </c>
      <c r="B601" s="5" t="s">
        <v>1240</v>
      </c>
      <c r="C601" s="5" t="s">
        <v>21</v>
      </c>
      <c r="D601" s="5">
        <v>58</v>
      </c>
      <c r="E601" s="5" t="s">
        <v>22</v>
      </c>
      <c r="F601" s="5" t="s">
        <v>23</v>
      </c>
      <c r="G601" s="5" t="s">
        <v>24</v>
      </c>
      <c r="H601" s="5">
        <v>709019</v>
      </c>
      <c r="I601">
        <v>720</v>
      </c>
      <c r="J601">
        <v>141124</v>
      </c>
      <c r="K601">
        <v>84</v>
      </c>
      <c r="L601">
        <v>10.09</v>
      </c>
      <c r="M601" t="s">
        <v>25</v>
      </c>
      <c r="N601" t="s">
        <v>34</v>
      </c>
      <c r="O601" t="s">
        <v>27</v>
      </c>
      <c r="P601">
        <v>1849.56</v>
      </c>
      <c r="Q601">
        <v>49916.97</v>
      </c>
      <c r="R601" t="s">
        <v>28</v>
      </c>
      <c r="S601" s="1">
        <v>45984</v>
      </c>
    </row>
    <row r="602" spans="1:19" x14ac:dyDescent="0.25">
      <c r="A602" s="5" t="s">
        <v>1241</v>
      </c>
      <c r="B602" s="5" t="s">
        <v>1242</v>
      </c>
      <c r="C602" s="5" t="s">
        <v>31</v>
      </c>
      <c r="D602" s="5">
        <v>48</v>
      </c>
      <c r="E602" s="5" t="s">
        <v>22</v>
      </c>
      <c r="F602" s="5" t="s">
        <v>42</v>
      </c>
      <c r="G602" s="5" t="s">
        <v>33</v>
      </c>
      <c r="H602" s="5">
        <v>1880571</v>
      </c>
      <c r="I602">
        <v>625</v>
      </c>
      <c r="J602">
        <v>1689404</v>
      </c>
      <c r="K602">
        <v>12</v>
      </c>
      <c r="L602">
        <v>11.79</v>
      </c>
      <c r="M602" t="s">
        <v>5</v>
      </c>
      <c r="N602" t="s">
        <v>44</v>
      </c>
      <c r="O602" t="s">
        <v>27</v>
      </c>
      <c r="P602">
        <v>157382.06</v>
      </c>
      <c r="Q602">
        <v>244173.39</v>
      </c>
      <c r="R602" t="s">
        <v>28</v>
      </c>
      <c r="S602" s="1">
        <v>45775</v>
      </c>
    </row>
    <row r="603" spans="1:19" x14ac:dyDescent="0.25">
      <c r="A603" s="5" t="s">
        <v>1243</v>
      </c>
      <c r="B603" s="5" t="s">
        <v>1244</v>
      </c>
      <c r="C603" s="5" t="s">
        <v>21</v>
      </c>
      <c r="D603" s="5">
        <v>34</v>
      </c>
      <c r="E603" s="5" t="s">
        <v>32</v>
      </c>
      <c r="F603" s="5" t="s">
        <v>42</v>
      </c>
      <c r="G603" s="5" t="s">
        <v>33</v>
      </c>
      <c r="H603" s="5">
        <v>1785546</v>
      </c>
      <c r="I603">
        <v>717</v>
      </c>
      <c r="J603">
        <v>1521315</v>
      </c>
      <c r="K603">
        <v>240</v>
      </c>
      <c r="L603">
        <v>8.94</v>
      </c>
      <c r="M603" t="s">
        <v>54</v>
      </c>
      <c r="N603" t="s">
        <v>26</v>
      </c>
      <c r="O603" t="s">
        <v>27</v>
      </c>
      <c r="P603">
        <v>6905.5</v>
      </c>
      <c r="Q603">
        <v>932351.47</v>
      </c>
      <c r="R603" t="s">
        <v>28</v>
      </c>
      <c r="S603" s="1">
        <v>45876</v>
      </c>
    </row>
    <row r="604" spans="1:19" x14ac:dyDescent="0.25">
      <c r="A604" s="5" t="s">
        <v>1245</v>
      </c>
      <c r="B604" s="5" t="s">
        <v>1246</v>
      </c>
      <c r="C604" s="5" t="s">
        <v>31</v>
      </c>
      <c r="D604" s="5">
        <v>40</v>
      </c>
      <c r="E604" s="5" t="s">
        <v>22</v>
      </c>
      <c r="F604" s="5" t="s">
        <v>23</v>
      </c>
      <c r="G604" s="5" t="s">
        <v>24</v>
      </c>
      <c r="H604" s="5">
        <v>1792225</v>
      </c>
      <c r="I604">
        <v>807</v>
      </c>
      <c r="J604">
        <v>703140</v>
      </c>
      <c r="K604">
        <v>36</v>
      </c>
      <c r="L604">
        <v>9.25</v>
      </c>
      <c r="M604" t="s">
        <v>5</v>
      </c>
      <c r="N604" t="s">
        <v>51</v>
      </c>
      <c r="O604" t="s">
        <v>27</v>
      </c>
      <c r="P604">
        <v>21338.35</v>
      </c>
      <c r="Q604">
        <v>539850.44999999995</v>
      </c>
      <c r="R604" t="s">
        <v>28</v>
      </c>
      <c r="S604" s="1">
        <v>45557</v>
      </c>
    </row>
    <row r="605" spans="1:19" x14ac:dyDescent="0.25">
      <c r="A605" s="5" t="s">
        <v>1247</v>
      </c>
      <c r="B605" s="5" t="s">
        <v>1248</v>
      </c>
      <c r="C605" s="5" t="s">
        <v>21</v>
      </c>
      <c r="D605" s="5">
        <v>51</v>
      </c>
      <c r="E605" s="5" t="s">
        <v>32</v>
      </c>
      <c r="F605" s="5" t="s">
        <v>42</v>
      </c>
      <c r="G605" s="5" t="s">
        <v>24</v>
      </c>
      <c r="H605" s="5">
        <v>310917</v>
      </c>
      <c r="I605">
        <v>816</v>
      </c>
      <c r="J605">
        <v>1883668</v>
      </c>
      <c r="K605">
        <v>24</v>
      </c>
      <c r="L605">
        <v>13.32</v>
      </c>
      <c r="M605" t="s">
        <v>43</v>
      </c>
      <c r="N605" t="s">
        <v>26</v>
      </c>
      <c r="O605" t="s">
        <v>27</v>
      </c>
      <c r="P605">
        <v>88940.52</v>
      </c>
      <c r="Q605">
        <v>1676753.3</v>
      </c>
      <c r="R605" t="s">
        <v>28</v>
      </c>
      <c r="S605" s="1">
        <v>45342</v>
      </c>
    </row>
    <row r="606" spans="1:19" x14ac:dyDescent="0.25">
      <c r="A606" s="5" t="s">
        <v>1249</v>
      </c>
      <c r="B606" s="5" t="s">
        <v>1250</v>
      </c>
      <c r="C606" s="5" t="s">
        <v>31</v>
      </c>
      <c r="D606" s="5">
        <v>42</v>
      </c>
      <c r="E606" s="5" t="s">
        <v>22</v>
      </c>
      <c r="F606" s="5" t="s">
        <v>42</v>
      </c>
      <c r="G606" s="5" t="s">
        <v>33</v>
      </c>
      <c r="H606" s="5">
        <v>318412</v>
      </c>
      <c r="I606">
        <v>811</v>
      </c>
      <c r="J606">
        <v>622138</v>
      </c>
      <c r="K606">
        <v>180</v>
      </c>
      <c r="L606">
        <v>11.44</v>
      </c>
      <c r="M606" t="s">
        <v>57</v>
      </c>
      <c r="N606" t="s">
        <v>104</v>
      </c>
      <c r="O606" t="s">
        <v>39</v>
      </c>
      <c r="P606">
        <v>3851.73</v>
      </c>
      <c r="Q606">
        <v>501631.52</v>
      </c>
      <c r="R606" t="s">
        <v>28</v>
      </c>
      <c r="S606" s="1">
        <v>45902</v>
      </c>
    </row>
    <row r="607" spans="1:19" x14ac:dyDescent="0.25">
      <c r="A607" s="5" t="s">
        <v>1251</v>
      </c>
      <c r="B607" s="5" t="s">
        <v>1252</v>
      </c>
      <c r="C607" s="5" t="s">
        <v>31</v>
      </c>
      <c r="D607" s="5">
        <v>30</v>
      </c>
      <c r="E607" s="5" t="s">
        <v>32</v>
      </c>
      <c r="F607" s="5" t="s">
        <v>42</v>
      </c>
      <c r="G607" s="5" t="s">
        <v>24</v>
      </c>
      <c r="H607" s="5">
        <v>1691240</v>
      </c>
      <c r="I607">
        <v>678</v>
      </c>
      <c r="J607">
        <v>467563</v>
      </c>
      <c r="K607">
        <v>60</v>
      </c>
      <c r="L607">
        <v>12.13</v>
      </c>
      <c r="M607" t="s">
        <v>5</v>
      </c>
      <c r="N607" t="s">
        <v>51</v>
      </c>
      <c r="O607" t="s">
        <v>27</v>
      </c>
      <c r="P607">
        <v>8737.9699999999993</v>
      </c>
      <c r="Q607">
        <v>398344.6</v>
      </c>
      <c r="R607" t="s">
        <v>28</v>
      </c>
      <c r="S607" s="1">
        <v>45523</v>
      </c>
    </row>
    <row r="608" spans="1:19" x14ac:dyDescent="0.25">
      <c r="A608" s="5" t="s">
        <v>1253</v>
      </c>
      <c r="B608" s="5" t="s">
        <v>1254</v>
      </c>
      <c r="C608" s="5" t="s">
        <v>21</v>
      </c>
      <c r="D608" s="5">
        <v>40</v>
      </c>
      <c r="E608" s="5" t="s">
        <v>22</v>
      </c>
      <c r="F608" s="5" t="s">
        <v>42</v>
      </c>
      <c r="G608" s="5" t="s">
        <v>33</v>
      </c>
      <c r="H608" s="5">
        <v>642436</v>
      </c>
      <c r="I608">
        <v>841</v>
      </c>
      <c r="J608">
        <v>1920257</v>
      </c>
      <c r="K608">
        <v>12</v>
      </c>
      <c r="L608">
        <v>13.83</v>
      </c>
      <c r="M608" t="s">
        <v>25</v>
      </c>
      <c r="N608" t="s">
        <v>38</v>
      </c>
      <c r="O608" t="s">
        <v>27</v>
      </c>
      <c r="P608">
        <v>182152.38</v>
      </c>
      <c r="Q608">
        <v>1489469.79</v>
      </c>
      <c r="R608" t="s">
        <v>28</v>
      </c>
      <c r="S608" s="1">
        <v>45736</v>
      </c>
    </row>
    <row r="609" spans="1:19" x14ac:dyDescent="0.25">
      <c r="A609" s="5" t="s">
        <v>1255</v>
      </c>
      <c r="B609" s="5" t="s">
        <v>1256</v>
      </c>
      <c r="C609" s="5" t="s">
        <v>21</v>
      </c>
      <c r="D609" s="5">
        <v>49</v>
      </c>
      <c r="E609" s="5" t="s">
        <v>22</v>
      </c>
      <c r="F609" s="5" t="s">
        <v>23</v>
      </c>
      <c r="G609" s="5" t="s">
        <v>33</v>
      </c>
      <c r="H609" s="5">
        <v>1548357</v>
      </c>
      <c r="I609">
        <v>635</v>
      </c>
      <c r="J609">
        <v>696033</v>
      </c>
      <c r="K609">
        <v>180</v>
      </c>
      <c r="L609">
        <v>10.53</v>
      </c>
      <c r="M609" t="s">
        <v>54</v>
      </c>
      <c r="N609" t="s">
        <v>51</v>
      </c>
      <c r="O609" t="s">
        <v>39</v>
      </c>
      <c r="P609">
        <v>4274.03</v>
      </c>
      <c r="Q609">
        <v>513308.62</v>
      </c>
      <c r="R609" t="s">
        <v>28</v>
      </c>
      <c r="S609" s="1">
        <v>45701</v>
      </c>
    </row>
    <row r="610" spans="1:19" x14ac:dyDescent="0.25">
      <c r="A610" s="5" t="s">
        <v>1257</v>
      </c>
      <c r="B610" s="5" t="s">
        <v>1258</v>
      </c>
      <c r="C610" s="5" t="s">
        <v>31</v>
      </c>
      <c r="D610" s="5">
        <v>39</v>
      </c>
      <c r="E610" s="5" t="s">
        <v>22</v>
      </c>
      <c r="F610" s="5" t="s">
        <v>23</v>
      </c>
      <c r="G610" s="5" t="s">
        <v>24</v>
      </c>
      <c r="H610" s="5">
        <v>1882228</v>
      </c>
      <c r="I610">
        <v>749</v>
      </c>
      <c r="J610">
        <v>251645</v>
      </c>
      <c r="K610">
        <v>240</v>
      </c>
      <c r="L610">
        <v>13.28</v>
      </c>
      <c r="M610" t="s">
        <v>57</v>
      </c>
      <c r="N610" t="s">
        <v>44</v>
      </c>
      <c r="O610" t="s">
        <v>27</v>
      </c>
      <c r="P610">
        <v>1187.76</v>
      </c>
      <c r="Q610">
        <v>62707.14</v>
      </c>
      <c r="R610" t="s">
        <v>28</v>
      </c>
      <c r="S610" s="1">
        <v>45384</v>
      </c>
    </row>
    <row r="611" spans="1:19" x14ac:dyDescent="0.25">
      <c r="A611" s="5" t="s">
        <v>1259</v>
      </c>
      <c r="B611" s="5" t="s">
        <v>1260</v>
      </c>
      <c r="C611" s="5" t="s">
        <v>31</v>
      </c>
      <c r="D611" s="5">
        <v>26</v>
      </c>
      <c r="E611" s="5" t="s">
        <v>32</v>
      </c>
      <c r="F611" s="5" t="s">
        <v>42</v>
      </c>
      <c r="G611" s="5" t="s">
        <v>24</v>
      </c>
      <c r="H611" s="5">
        <v>1372943</v>
      </c>
      <c r="I611">
        <v>717</v>
      </c>
      <c r="J611">
        <v>450230</v>
      </c>
      <c r="K611">
        <v>120</v>
      </c>
      <c r="L611">
        <v>9.4700000000000006</v>
      </c>
      <c r="M611" t="s">
        <v>5</v>
      </c>
      <c r="N611" t="s">
        <v>44</v>
      </c>
      <c r="O611" t="s">
        <v>27</v>
      </c>
      <c r="P611">
        <v>4107.22</v>
      </c>
      <c r="Q611">
        <v>317047.15999999997</v>
      </c>
      <c r="R611" t="s">
        <v>28</v>
      </c>
      <c r="S611" s="1">
        <v>45891</v>
      </c>
    </row>
    <row r="612" spans="1:19" x14ac:dyDescent="0.25">
      <c r="A612" s="5" t="s">
        <v>1261</v>
      </c>
      <c r="B612" s="5" t="s">
        <v>1262</v>
      </c>
      <c r="C612" s="5" t="s">
        <v>31</v>
      </c>
      <c r="D612" s="5">
        <v>46</v>
      </c>
      <c r="E612" s="5" t="s">
        <v>32</v>
      </c>
      <c r="F612" s="5" t="s">
        <v>23</v>
      </c>
      <c r="G612" s="5" t="s">
        <v>24</v>
      </c>
      <c r="H612" s="5">
        <v>297914</v>
      </c>
      <c r="I612">
        <v>619</v>
      </c>
      <c r="J612">
        <v>1700742</v>
      </c>
      <c r="K612">
        <v>84</v>
      </c>
      <c r="L612">
        <v>13.27</v>
      </c>
      <c r="M612" t="s">
        <v>25</v>
      </c>
      <c r="N612" t="s">
        <v>38</v>
      </c>
      <c r="O612" t="s">
        <v>27</v>
      </c>
      <c r="P612">
        <v>22933.7</v>
      </c>
      <c r="Q612">
        <v>1307471.57</v>
      </c>
      <c r="R612" t="s">
        <v>28</v>
      </c>
      <c r="S612" s="1">
        <v>45534</v>
      </c>
    </row>
    <row r="613" spans="1:19" x14ac:dyDescent="0.25">
      <c r="A613" s="5" t="s">
        <v>1263</v>
      </c>
      <c r="B613" s="5" t="s">
        <v>1264</v>
      </c>
      <c r="C613" s="5" t="s">
        <v>21</v>
      </c>
      <c r="D613" s="5">
        <v>54</v>
      </c>
      <c r="E613" s="5" t="s">
        <v>32</v>
      </c>
      <c r="F613" s="5" t="s">
        <v>42</v>
      </c>
      <c r="G613" s="5" t="s">
        <v>33</v>
      </c>
      <c r="H613" s="5">
        <v>1642057</v>
      </c>
      <c r="I613">
        <v>679</v>
      </c>
      <c r="J613">
        <v>1646468</v>
      </c>
      <c r="K613">
        <v>180</v>
      </c>
      <c r="L613">
        <v>12.76</v>
      </c>
      <c r="M613" t="s">
        <v>57</v>
      </c>
      <c r="N613" t="s">
        <v>51</v>
      </c>
      <c r="O613" t="s">
        <v>27</v>
      </c>
      <c r="P613">
        <v>10314.209999999999</v>
      </c>
      <c r="Q613">
        <v>1358720.34</v>
      </c>
      <c r="R613" t="s">
        <v>28</v>
      </c>
      <c r="S613" s="1">
        <v>45766</v>
      </c>
    </row>
    <row r="614" spans="1:19" x14ac:dyDescent="0.25">
      <c r="A614" s="5" t="s">
        <v>1265</v>
      </c>
      <c r="B614" s="5" t="s">
        <v>1266</v>
      </c>
      <c r="C614" s="5" t="s">
        <v>31</v>
      </c>
      <c r="D614" s="5">
        <v>48</v>
      </c>
      <c r="E614" s="5" t="s">
        <v>22</v>
      </c>
      <c r="F614" s="5" t="s">
        <v>42</v>
      </c>
      <c r="G614" s="5" t="s">
        <v>24</v>
      </c>
      <c r="H614" s="5">
        <v>1142617</v>
      </c>
      <c r="I614">
        <v>830</v>
      </c>
      <c r="J614">
        <v>1899852</v>
      </c>
      <c r="K614">
        <v>120</v>
      </c>
      <c r="L614">
        <v>15.13</v>
      </c>
      <c r="M614" t="s">
        <v>54</v>
      </c>
      <c r="N614" t="s">
        <v>38</v>
      </c>
      <c r="O614" t="s">
        <v>27</v>
      </c>
      <c r="P614">
        <v>18227.5</v>
      </c>
      <c r="Q614">
        <v>552127.24</v>
      </c>
      <c r="R614" t="s">
        <v>28</v>
      </c>
      <c r="S614" s="1">
        <v>45723</v>
      </c>
    </row>
    <row r="615" spans="1:19" x14ac:dyDescent="0.25">
      <c r="A615" s="5" t="s">
        <v>1267</v>
      </c>
      <c r="B615" s="5" t="s">
        <v>1268</v>
      </c>
      <c r="C615" s="5" t="s">
        <v>21</v>
      </c>
      <c r="D615" s="5">
        <v>33</v>
      </c>
      <c r="E615" s="5" t="s">
        <v>32</v>
      </c>
      <c r="F615" s="5" t="s">
        <v>42</v>
      </c>
      <c r="G615" s="5" t="s">
        <v>33</v>
      </c>
      <c r="H615" s="5">
        <v>1592275</v>
      </c>
      <c r="I615">
        <v>794</v>
      </c>
      <c r="J615">
        <v>538020</v>
      </c>
      <c r="K615">
        <v>180</v>
      </c>
      <c r="L615">
        <v>14.78</v>
      </c>
      <c r="M615" t="s">
        <v>5</v>
      </c>
      <c r="N615" t="s">
        <v>44</v>
      </c>
      <c r="O615" t="s">
        <v>27</v>
      </c>
      <c r="P615">
        <v>3430.77</v>
      </c>
      <c r="Q615">
        <v>488745.17</v>
      </c>
      <c r="R615" t="s">
        <v>28</v>
      </c>
      <c r="S615" s="1">
        <v>45973</v>
      </c>
    </row>
    <row r="616" spans="1:19" x14ac:dyDescent="0.25">
      <c r="A616" s="5" t="s">
        <v>1269</v>
      </c>
      <c r="B616" s="5" t="s">
        <v>1270</v>
      </c>
      <c r="C616" s="5" t="s">
        <v>21</v>
      </c>
      <c r="D616" s="5">
        <v>22</v>
      </c>
      <c r="E616" s="5" t="s">
        <v>22</v>
      </c>
      <c r="F616" s="5" t="s">
        <v>23</v>
      </c>
      <c r="G616" s="5" t="s">
        <v>33</v>
      </c>
      <c r="H616" s="5">
        <v>1876516</v>
      </c>
      <c r="I616">
        <v>732</v>
      </c>
      <c r="J616">
        <v>1401969</v>
      </c>
      <c r="K616">
        <v>36</v>
      </c>
      <c r="L616">
        <v>15.08</v>
      </c>
      <c r="M616" t="s">
        <v>5</v>
      </c>
      <c r="N616" t="s">
        <v>104</v>
      </c>
      <c r="O616" t="s">
        <v>27</v>
      </c>
      <c r="P616">
        <v>44816.28</v>
      </c>
      <c r="Q616">
        <v>285410.18</v>
      </c>
      <c r="R616" t="s">
        <v>28</v>
      </c>
      <c r="S616" s="1">
        <v>45389</v>
      </c>
    </row>
    <row r="617" spans="1:19" x14ac:dyDescent="0.25">
      <c r="A617" s="5" t="s">
        <v>1271</v>
      </c>
      <c r="B617" s="5" t="s">
        <v>1272</v>
      </c>
      <c r="C617" s="5" t="s">
        <v>21</v>
      </c>
      <c r="D617" s="5">
        <v>43</v>
      </c>
      <c r="E617" s="5" t="s">
        <v>32</v>
      </c>
      <c r="F617" s="5" t="s">
        <v>42</v>
      </c>
      <c r="G617" s="5" t="s">
        <v>33</v>
      </c>
      <c r="H617" s="5">
        <v>457800</v>
      </c>
      <c r="I617">
        <v>839</v>
      </c>
      <c r="J617">
        <v>733076</v>
      </c>
      <c r="K617">
        <v>12</v>
      </c>
      <c r="L617">
        <v>13.19</v>
      </c>
      <c r="M617" t="s">
        <v>57</v>
      </c>
      <c r="N617" t="s">
        <v>44</v>
      </c>
      <c r="O617" t="s">
        <v>27</v>
      </c>
      <c r="P617">
        <v>69147.39</v>
      </c>
      <c r="Q617">
        <v>204679.56</v>
      </c>
      <c r="R617" t="s">
        <v>28</v>
      </c>
      <c r="S617" s="1">
        <v>45402</v>
      </c>
    </row>
    <row r="618" spans="1:19" x14ac:dyDescent="0.25">
      <c r="A618" s="5" t="s">
        <v>1273</v>
      </c>
      <c r="B618" s="5" t="s">
        <v>1274</v>
      </c>
      <c r="C618" s="5" t="s">
        <v>21</v>
      </c>
      <c r="D618" s="5">
        <v>26</v>
      </c>
      <c r="E618" s="5" t="s">
        <v>32</v>
      </c>
      <c r="F618" s="5" t="s">
        <v>23</v>
      </c>
      <c r="G618" s="5" t="s">
        <v>24</v>
      </c>
      <c r="H618" s="5">
        <v>315361</v>
      </c>
      <c r="I618">
        <v>804</v>
      </c>
      <c r="J618">
        <v>1131802</v>
      </c>
      <c r="K618">
        <v>48</v>
      </c>
      <c r="L618">
        <v>13.51</v>
      </c>
      <c r="M618" t="s">
        <v>25</v>
      </c>
      <c r="N618" t="s">
        <v>38</v>
      </c>
      <c r="O618" t="s">
        <v>27</v>
      </c>
      <c r="P618">
        <v>26764.76</v>
      </c>
      <c r="Q618">
        <v>516714.47</v>
      </c>
      <c r="R618" t="s">
        <v>28</v>
      </c>
      <c r="S618" s="1">
        <v>45358</v>
      </c>
    </row>
    <row r="619" spans="1:19" x14ac:dyDescent="0.25">
      <c r="A619" s="5" t="s">
        <v>1275</v>
      </c>
      <c r="B619" s="5" t="s">
        <v>1276</v>
      </c>
      <c r="C619" s="5" t="s">
        <v>31</v>
      </c>
      <c r="D619" s="5">
        <v>40</v>
      </c>
      <c r="E619" s="5" t="s">
        <v>22</v>
      </c>
      <c r="F619" s="5" t="s">
        <v>23</v>
      </c>
      <c r="G619" s="5" t="s">
        <v>24</v>
      </c>
      <c r="H619" s="5">
        <v>1624940</v>
      </c>
      <c r="I619">
        <v>714</v>
      </c>
      <c r="J619">
        <v>800075</v>
      </c>
      <c r="K619">
        <v>120</v>
      </c>
      <c r="L619">
        <v>8.91</v>
      </c>
      <c r="M619" t="s">
        <v>57</v>
      </c>
      <c r="N619" t="s">
        <v>26</v>
      </c>
      <c r="O619" t="s">
        <v>27</v>
      </c>
      <c r="P619">
        <v>7261.35</v>
      </c>
      <c r="Q619">
        <v>241959.56</v>
      </c>
      <c r="R619" t="s">
        <v>28</v>
      </c>
      <c r="S619" s="1">
        <v>45785</v>
      </c>
    </row>
    <row r="620" spans="1:19" x14ac:dyDescent="0.25">
      <c r="A620" s="5" t="s">
        <v>1277</v>
      </c>
      <c r="B620" s="5" t="s">
        <v>1278</v>
      </c>
      <c r="C620" s="5" t="s">
        <v>31</v>
      </c>
      <c r="D620" s="5">
        <v>34</v>
      </c>
      <c r="E620" s="5" t="s">
        <v>32</v>
      </c>
      <c r="F620" s="5" t="s">
        <v>42</v>
      </c>
      <c r="G620" s="5" t="s">
        <v>24</v>
      </c>
      <c r="H620" s="5">
        <v>1954903</v>
      </c>
      <c r="I620">
        <v>741</v>
      </c>
      <c r="J620">
        <v>1229101</v>
      </c>
      <c r="K620">
        <v>240</v>
      </c>
      <c r="L620">
        <v>13.6</v>
      </c>
      <c r="M620" t="s">
        <v>43</v>
      </c>
      <c r="N620" t="s">
        <v>26</v>
      </c>
      <c r="O620" t="s">
        <v>27</v>
      </c>
      <c r="P620">
        <v>5817.74</v>
      </c>
      <c r="Q620">
        <v>736625.22</v>
      </c>
      <c r="R620" t="s">
        <v>28</v>
      </c>
      <c r="S620" s="1">
        <v>45875</v>
      </c>
    </row>
    <row r="621" spans="1:19" x14ac:dyDescent="0.25">
      <c r="A621" s="5" t="s">
        <v>1279</v>
      </c>
      <c r="B621" s="5" t="s">
        <v>1280</v>
      </c>
      <c r="C621" s="5" t="s">
        <v>21</v>
      </c>
      <c r="D621" s="5">
        <v>42</v>
      </c>
      <c r="E621" s="5" t="s">
        <v>22</v>
      </c>
      <c r="F621" s="5" t="s">
        <v>23</v>
      </c>
      <c r="G621" s="5" t="s">
        <v>33</v>
      </c>
      <c r="H621" s="5">
        <v>1347993</v>
      </c>
      <c r="I621">
        <v>847</v>
      </c>
      <c r="J621">
        <v>1249093</v>
      </c>
      <c r="K621">
        <v>48</v>
      </c>
      <c r="L621">
        <v>10.18</v>
      </c>
      <c r="M621" t="s">
        <v>57</v>
      </c>
      <c r="N621" t="s">
        <v>34</v>
      </c>
      <c r="O621" t="s">
        <v>27</v>
      </c>
      <c r="P621">
        <v>28671.89</v>
      </c>
      <c r="Q621">
        <v>239927.93</v>
      </c>
      <c r="R621" t="s">
        <v>28</v>
      </c>
      <c r="S621" s="1">
        <v>45842</v>
      </c>
    </row>
    <row r="622" spans="1:19" x14ac:dyDescent="0.25">
      <c r="A622" s="5" t="s">
        <v>1281</v>
      </c>
      <c r="B622" s="5" t="s">
        <v>1282</v>
      </c>
      <c r="C622" s="5" t="s">
        <v>31</v>
      </c>
      <c r="D622" s="5">
        <v>43</v>
      </c>
      <c r="E622" s="5" t="s">
        <v>32</v>
      </c>
      <c r="F622" s="5" t="s">
        <v>42</v>
      </c>
      <c r="G622" s="5" t="s">
        <v>33</v>
      </c>
      <c r="H622" s="5">
        <v>1223412</v>
      </c>
      <c r="I622">
        <v>554</v>
      </c>
      <c r="J622">
        <v>934203</v>
      </c>
      <c r="K622">
        <v>240</v>
      </c>
      <c r="L622">
        <v>13.25</v>
      </c>
      <c r="M622" t="s">
        <v>54</v>
      </c>
      <c r="N622" t="s">
        <v>26</v>
      </c>
      <c r="O622" t="s">
        <v>27</v>
      </c>
      <c r="P622">
        <v>4408.2700000000004</v>
      </c>
      <c r="Q622">
        <v>209693.63</v>
      </c>
      <c r="R622" t="s">
        <v>28</v>
      </c>
      <c r="S622" s="1">
        <v>45730</v>
      </c>
    </row>
    <row r="623" spans="1:19" x14ac:dyDescent="0.25">
      <c r="A623" s="5" t="s">
        <v>1283</v>
      </c>
      <c r="B623" s="5" t="s">
        <v>1284</v>
      </c>
      <c r="C623" s="5" t="s">
        <v>31</v>
      </c>
      <c r="D623" s="5">
        <v>52</v>
      </c>
      <c r="E623" s="5" t="s">
        <v>22</v>
      </c>
      <c r="F623" s="5" t="s">
        <v>42</v>
      </c>
      <c r="G623" s="5" t="s">
        <v>24</v>
      </c>
      <c r="H623" s="5">
        <v>1766126</v>
      </c>
      <c r="I623">
        <v>762</v>
      </c>
      <c r="J623">
        <v>1717893</v>
      </c>
      <c r="K623">
        <v>12</v>
      </c>
      <c r="L623">
        <v>11.41</v>
      </c>
      <c r="M623" t="s">
        <v>43</v>
      </c>
      <c r="N623" t="s">
        <v>104</v>
      </c>
      <c r="O623" t="s">
        <v>27</v>
      </c>
      <c r="P623">
        <v>159492.04999999999</v>
      </c>
      <c r="Q623">
        <v>491455.28</v>
      </c>
      <c r="R623" t="s">
        <v>28</v>
      </c>
      <c r="S623" s="1">
        <v>45397</v>
      </c>
    </row>
    <row r="624" spans="1:19" x14ac:dyDescent="0.25">
      <c r="A624" s="5" t="s">
        <v>1285</v>
      </c>
      <c r="B624" s="5" t="s">
        <v>1286</v>
      </c>
      <c r="C624" s="5" t="s">
        <v>31</v>
      </c>
      <c r="D624" s="5">
        <v>48</v>
      </c>
      <c r="E624" s="5" t="s">
        <v>32</v>
      </c>
      <c r="F624" s="5" t="s">
        <v>23</v>
      </c>
      <c r="G624" s="5" t="s">
        <v>33</v>
      </c>
      <c r="H624" s="5">
        <v>923290</v>
      </c>
      <c r="I624">
        <v>568</v>
      </c>
      <c r="J624">
        <v>1321214</v>
      </c>
      <c r="K624">
        <v>24</v>
      </c>
      <c r="L624">
        <v>11.65</v>
      </c>
      <c r="M624" t="s">
        <v>5</v>
      </c>
      <c r="N624" t="s">
        <v>34</v>
      </c>
      <c r="O624" t="s">
        <v>39</v>
      </c>
      <c r="P624">
        <v>61463.98</v>
      </c>
      <c r="Q624">
        <v>1119724.6399999999</v>
      </c>
      <c r="R624" t="s">
        <v>28</v>
      </c>
      <c r="S624" s="1">
        <v>45532</v>
      </c>
    </row>
    <row r="625" spans="1:19" x14ac:dyDescent="0.25">
      <c r="A625" s="5" t="s">
        <v>1287</v>
      </c>
      <c r="B625" s="5" t="s">
        <v>1288</v>
      </c>
      <c r="C625" s="5" t="s">
        <v>21</v>
      </c>
      <c r="D625" s="5">
        <v>29</v>
      </c>
      <c r="E625" s="5" t="s">
        <v>32</v>
      </c>
      <c r="F625" s="5" t="s">
        <v>42</v>
      </c>
      <c r="G625" s="5" t="s">
        <v>24</v>
      </c>
      <c r="H625" s="5">
        <v>1694308</v>
      </c>
      <c r="I625">
        <v>608</v>
      </c>
      <c r="J625">
        <v>990613</v>
      </c>
      <c r="K625">
        <v>36</v>
      </c>
      <c r="L625">
        <v>8.19</v>
      </c>
      <c r="M625" t="s">
        <v>5</v>
      </c>
      <c r="N625" t="s">
        <v>44</v>
      </c>
      <c r="O625" t="s">
        <v>27</v>
      </c>
      <c r="P625">
        <v>29770.67</v>
      </c>
      <c r="Q625">
        <v>403288.4</v>
      </c>
      <c r="R625" t="s">
        <v>28</v>
      </c>
      <c r="S625" s="1">
        <v>45883</v>
      </c>
    </row>
    <row r="626" spans="1:19" x14ac:dyDescent="0.25">
      <c r="A626" s="5" t="s">
        <v>1289</v>
      </c>
      <c r="B626" s="5" t="s">
        <v>1290</v>
      </c>
      <c r="C626" s="5" t="s">
        <v>31</v>
      </c>
      <c r="D626" s="5">
        <v>33</v>
      </c>
      <c r="E626" s="5" t="s">
        <v>22</v>
      </c>
      <c r="F626" s="5" t="s">
        <v>23</v>
      </c>
      <c r="G626" s="5" t="s">
        <v>24</v>
      </c>
      <c r="H626" s="5">
        <v>1941703</v>
      </c>
      <c r="I626">
        <v>767</v>
      </c>
      <c r="J626">
        <v>1663747</v>
      </c>
      <c r="K626">
        <v>60</v>
      </c>
      <c r="L626">
        <v>13.77</v>
      </c>
      <c r="M626" t="s">
        <v>25</v>
      </c>
      <c r="N626" t="s">
        <v>104</v>
      </c>
      <c r="O626" t="s">
        <v>27</v>
      </c>
      <c r="P626">
        <v>31547.42</v>
      </c>
      <c r="Q626">
        <v>1268927.73</v>
      </c>
      <c r="R626" t="s">
        <v>28</v>
      </c>
      <c r="S626" s="1">
        <v>45944</v>
      </c>
    </row>
    <row r="627" spans="1:19" x14ac:dyDescent="0.25">
      <c r="A627" s="5" t="s">
        <v>1291</v>
      </c>
      <c r="B627" s="5" t="s">
        <v>1292</v>
      </c>
      <c r="C627" s="5" t="s">
        <v>21</v>
      </c>
      <c r="D627" s="5">
        <v>43</v>
      </c>
      <c r="E627" s="5" t="s">
        <v>32</v>
      </c>
      <c r="F627" s="5" t="s">
        <v>23</v>
      </c>
      <c r="G627" s="5" t="s">
        <v>24</v>
      </c>
      <c r="H627" s="5">
        <v>1354535</v>
      </c>
      <c r="I627">
        <v>709</v>
      </c>
      <c r="J627">
        <v>1410357</v>
      </c>
      <c r="K627">
        <v>36</v>
      </c>
      <c r="L627">
        <v>15.46</v>
      </c>
      <c r="M627" t="s">
        <v>5</v>
      </c>
      <c r="N627" t="s">
        <v>26</v>
      </c>
      <c r="O627" t="s">
        <v>27</v>
      </c>
      <c r="P627">
        <v>45233.279999999999</v>
      </c>
      <c r="Q627">
        <v>1359357.22</v>
      </c>
      <c r="R627" t="s">
        <v>28</v>
      </c>
      <c r="S627" s="1">
        <v>45381</v>
      </c>
    </row>
    <row r="628" spans="1:19" x14ac:dyDescent="0.25">
      <c r="A628" s="5" t="s">
        <v>1293</v>
      </c>
      <c r="B628" s="5" t="s">
        <v>1294</v>
      </c>
      <c r="C628" s="5" t="s">
        <v>21</v>
      </c>
      <c r="D628" s="5">
        <v>42</v>
      </c>
      <c r="E628" s="5" t="s">
        <v>22</v>
      </c>
      <c r="F628" s="5" t="s">
        <v>42</v>
      </c>
      <c r="G628" s="5" t="s">
        <v>33</v>
      </c>
      <c r="H628" s="5">
        <v>910521</v>
      </c>
      <c r="I628">
        <v>831</v>
      </c>
      <c r="J628">
        <v>1880540</v>
      </c>
      <c r="K628">
        <v>24</v>
      </c>
      <c r="L628">
        <v>13.2</v>
      </c>
      <c r="M628" t="s">
        <v>43</v>
      </c>
      <c r="N628" t="s">
        <v>26</v>
      </c>
      <c r="O628" t="s">
        <v>27</v>
      </c>
      <c r="P628">
        <v>88698.8</v>
      </c>
      <c r="Q628">
        <v>1461661.81</v>
      </c>
      <c r="R628" t="s">
        <v>28</v>
      </c>
      <c r="S628" s="1">
        <v>45317</v>
      </c>
    </row>
    <row r="629" spans="1:19" x14ac:dyDescent="0.25">
      <c r="A629" s="5" t="s">
        <v>1295</v>
      </c>
      <c r="B629" s="5" t="s">
        <v>1296</v>
      </c>
      <c r="C629" s="5" t="s">
        <v>31</v>
      </c>
      <c r="D629" s="5">
        <v>50</v>
      </c>
      <c r="E629" s="5" t="s">
        <v>32</v>
      </c>
      <c r="F629" s="5" t="s">
        <v>42</v>
      </c>
      <c r="G629" s="5" t="s">
        <v>33</v>
      </c>
      <c r="H629" s="5">
        <v>275701</v>
      </c>
      <c r="I629">
        <v>823</v>
      </c>
      <c r="J629">
        <v>1233229</v>
      </c>
      <c r="K629">
        <v>60</v>
      </c>
      <c r="L629">
        <v>11.23</v>
      </c>
      <c r="M629" t="s">
        <v>25</v>
      </c>
      <c r="N629" t="s">
        <v>51</v>
      </c>
      <c r="O629" t="s">
        <v>27</v>
      </c>
      <c r="P629">
        <v>22862.01</v>
      </c>
      <c r="Q629">
        <v>1018743.62</v>
      </c>
      <c r="R629" t="s">
        <v>28</v>
      </c>
      <c r="S629" s="1">
        <v>45554</v>
      </c>
    </row>
    <row r="630" spans="1:19" x14ac:dyDescent="0.25">
      <c r="A630" s="5" t="s">
        <v>1297</v>
      </c>
      <c r="B630" s="5" t="s">
        <v>1298</v>
      </c>
      <c r="C630" s="5" t="s">
        <v>21</v>
      </c>
      <c r="D630" s="5">
        <v>48</v>
      </c>
      <c r="E630" s="5" t="s">
        <v>32</v>
      </c>
      <c r="F630" s="5" t="s">
        <v>42</v>
      </c>
      <c r="G630" s="5" t="s">
        <v>33</v>
      </c>
      <c r="H630" s="5">
        <v>1619505</v>
      </c>
      <c r="I630">
        <v>699</v>
      </c>
      <c r="J630">
        <v>378680</v>
      </c>
      <c r="K630">
        <v>240</v>
      </c>
      <c r="L630">
        <v>13.94</v>
      </c>
      <c r="M630" t="s">
        <v>5</v>
      </c>
      <c r="N630" t="s">
        <v>44</v>
      </c>
      <c r="O630" t="s">
        <v>27</v>
      </c>
      <c r="P630">
        <v>1797.78</v>
      </c>
      <c r="Q630">
        <v>313434.38</v>
      </c>
      <c r="R630" t="s">
        <v>28</v>
      </c>
      <c r="S630" s="1">
        <v>45814</v>
      </c>
    </row>
    <row r="631" spans="1:19" x14ac:dyDescent="0.25">
      <c r="A631" s="5" t="s">
        <v>1299</v>
      </c>
      <c r="B631" s="5" t="s">
        <v>1300</v>
      </c>
      <c r="C631" s="5" t="s">
        <v>31</v>
      </c>
      <c r="D631" s="5">
        <v>30</v>
      </c>
      <c r="E631" s="5" t="s">
        <v>32</v>
      </c>
      <c r="F631" s="5" t="s">
        <v>23</v>
      </c>
      <c r="G631" s="5" t="s">
        <v>33</v>
      </c>
      <c r="H631" s="5">
        <v>1117234</v>
      </c>
      <c r="I631">
        <v>635</v>
      </c>
      <c r="J631">
        <v>866845</v>
      </c>
      <c r="K631">
        <v>36</v>
      </c>
      <c r="L631">
        <v>13.05</v>
      </c>
      <c r="M631" t="s">
        <v>25</v>
      </c>
      <c r="N631" t="s">
        <v>26</v>
      </c>
      <c r="O631" t="s">
        <v>39</v>
      </c>
      <c r="P631">
        <v>27221.34</v>
      </c>
      <c r="Q631">
        <v>634594.29</v>
      </c>
      <c r="R631" t="s">
        <v>28</v>
      </c>
      <c r="S631" s="1">
        <v>45654</v>
      </c>
    </row>
    <row r="632" spans="1:19" x14ac:dyDescent="0.25">
      <c r="A632" s="5" t="s">
        <v>1301</v>
      </c>
      <c r="B632" s="5" t="s">
        <v>1302</v>
      </c>
      <c r="C632" s="5" t="s">
        <v>21</v>
      </c>
      <c r="D632" s="5">
        <v>23</v>
      </c>
      <c r="E632" s="5" t="s">
        <v>32</v>
      </c>
      <c r="F632" s="5" t="s">
        <v>42</v>
      </c>
      <c r="G632" s="5" t="s">
        <v>33</v>
      </c>
      <c r="H632" s="5">
        <v>1944260</v>
      </c>
      <c r="I632">
        <v>568</v>
      </c>
      <c r="J632">
        <v>605588</v>
      </c>
      <c r="K632">
        <v>84</v>
      </c>
      <c r="L632">
        <v>12.64</v>
      </c>
      <c r="M632" t="s">
        <v>57</v>
      </c>
      <c r="N632" t="s">
        <v>104</v>
      </c>
      <c r="O632" t="s">
        <v>27</v>
      </c>
      <c r="P632">
        <v>8120.65</v>
      </c>
      <c r="Q632">
        <v>125815.48</v>
      </c>
      <c r="R632" t="s">
        <v>35</v>
      </c>
      <c r="S632" s="1">
        <v>45722</v>
      </c>
    </row>
    <row r="633" spans="1:19" x14ac:dyDescent="0.25">
      <c r="A633" s="5" t="s">
        <v>1303</v>
      </c>
      <c r="B633" s="5" t="s">
        <v>1304</v>
      </c>
      <c r="C633" s="5" t="s">
        <v>31</v>
      </c>
      <c r="D633" s="5">
        <v>48</v>
      </c>
      <c r="E633" s="5" t="s">
        <v>32</v>
      </c>
      <c r="F633" s="5" t="s">
        <v>23</v>
      </c>
      <c r="G633" s="5" t="s">
        <v>33</v>
      </c>
      <c r="H633" s="5">
        <v>717234</v>
      </c>
      <c r="I633">
        <v>828</v>
      </c>
      <c r="J633">
        <v>1852324</v>
      </c>
      <c r="K633">
        <v>180</v>
      </c>
      <c r="L633">
        <v>10.62</v>
      </c>
      <c r="M633" t="s">
        <v>25</v>
      </c>
      <c r="N633" t="s">
        <v>38</v>
      </c>
      <c r="O633" t="s">
        <v>27</v>
      </c>
      <c r="P633">
        <v>11383.56</v>
      </c>
      <c r="Q633">
        <v>586733.88</v>
      </c>
      <c r="R633" t="s">
        <v>28</v>
      </c>
      <c r="S633" s="1">
        <v>45710</v>
      </c>
    </row>
    <row r="634" spans="1:19" x14ac:dyDescent="0.25">
      <c r="A634" s="5" t="s">
        <v>1305</v>
      </c>
      <c r="B634" s="5" t="s">
        <v>1306</v>
      </c>
      <c r="C634" s="5" t="s">
        <v>21</v>
      </c>
      <c r="D634" s="5">
        <v>44</v>
      </c>
      <c r="E634" s="5" t="s">
        <v>32</v>
      </c>
      <c r="F634" s="5" t="s">
        <v>42</v>
      </c>
      <c r="G634" s="5" t="s">
        <v>33</v>
      </c>
      <c r="H634" s="5">
        <v>1070232</v>
      </c>
      <c r="I634">
        <v>739</v>
      </c>
      <c r="J634">
        <v>710452</v>
      </c>
      <c r="K634">
        <v>12</v>
      </c>
      <c r="L634">
        <v>10.050000000000001</v>
      </c>
      <c r="M634" t="s">
        <v>43</v>
      </c>
      <c r="N634" t="s">
        <v>26</v>
      </c>
      <c r="O634" t="s">
        <v>27</v>
      </c>
      <c r="P634">
        <v>65154.37</v>
      </c>
      <c r="Q634">
        <v>190505.8</v>
      </c>
      <c r="R634" t="s">
        <v>28</v>
      </c>
      <c r="S634" s="1">
        <v>45441</v>
      </c>
    </row>
    <row r="635" spans="1:19" x14ac:dyDescent="0.25">
      <c r="A635" s="5" t="s">
        <v>1307</v>
      </c>
      <c r="B635" s="5" t="s">
        <v>1308</v>
      </c>
      <c r="C635" s="5" t="s">
        <v>31</v>
      </c>
      <c r="D635" s="5">
        <v>21</v>
      </c>
      <c r="E635" s="5" t="s">
        <v>22</v>
      </c>
      <c r="F635" s="5" t="s">
        <v>23</v>
      </c>
      <c r="G635" s="5" t="s">
        <v>33</v>
      </c>
      <c r="H635" s="5">
        <v>729498</v>
      </c>
      <c r="I635">
        <v>710</v>
      </c>
      <c r="J635">
        <v>1099747</v>
      </c>
      <c r="K635">
        <v>180</v>
      </c>
      <c r="L635">
        <v>12.81</v>
      </c>
      <c r="M635" t="s">
        <v>25</v>
      </c>
      <c r="N635" t="s">
        <v>38</v>
      </c>
      <c r="O635" t="s">
        <v>27</v>
      </c>
      <c r="P635">
        <v>6892.36</v>
      </c>
      <c r="Q635">
        <v>1051003.45</v>
      </c>
      <c r="R635" t="s">
        <v>28</v>
      </c>
      <c r="S635" s="1">
        <v>45780</v>
      </c>
    </row>
    <row r="636" spans="1:19" x14ac:dyDescent="0.25">
      <c r="A636" s="5" t="s">
        <v>1309</v>
      </c>
      <c r="B636" s="5" t="s">
        <v>1310</v>
      </c>
      <c r="C636" s="5" t="s">
        <v>21</v>
      </c>
      <c r="D636" s="5">
        <v>37</v>
      </c>
      <c r="E636" s="5" t="s">
        <v>22</v>
      </c>
      <c r="F636" s="5" t="s">
        <v>23</v>
      </c>
      <c r="G636" s="5" t="s">
        <v>33</v>
      </c>
      <c r="H636" s="5">
        <v>1402421</v>
      </c>
      <c r="I636">
        <v>797</v>
      </c>
      <c r="J636">
        <v>535003</v>
      </c>
      <c r="K636">
        <v>60</v>
      </c>
      <c r="L636">
        <v>10.36</v>
      </c>
      <c r="M636" t="s">
        <v>43</v>
      </c>
      <c r="N636" t="s">
        <v>51</v>
      </c>
      <c r="O636" t="s">
        <v>27</v>
      </c>
      <c r="P636">
        <v>9840.49</v>
      </c>
      <c r="Q636">
        <v>100356.46</v>
      </c>
      <c r="R636" t="s">
        <v>28</v>
      </c>
      <c r="S636" s="1">
        <v>45546</v>
      </c>
    </row>
    <row r="637" spans="1:19" x14ac:dyDescent="0.25">
      <c r="A637" s="5" t="s">
        <v>1311</v>
      </c>
      <c r="B637" s="5" t="s">
        <v>1312</v>
      </c>
      <c r="C637" s="5" t="s">
        <v>31</v>
      </c>
      <c r="D637" s="5">
        <v>56</v>
      </c>
      <c r="E637" s="5" t="s">
        <v>22</v>
      </c>
      <c r="F637" s="5" t="s">
        <v>42</v>
      </c>
      <c r="G637" s="5" t="s">
        <v>24</v>
      </c>
      <c r="H637" s="5">
        <v>1940015</v>
      </c>
      <c r="I637">
        <v>656</v>
      </c>
      <c r="J637">
        <v>1100509</v>
      </c>
      <c r="K637">
        <v>120</v>
      </c>
      <c r="L637">
        <v>9.0399999999999991</v>
      </c>
      <c r="M637" t="s">
        <v>54</v>
      </c>
      <c r="N637" t="s">
        <v>104</v>
      </c>
      <c r="O637" t="s">
        <v>27</v>
      </c>
      <c r="P637">
        <v>9999.9599999999991</v>
      </c>
      <c r="Q637">
        <v>297340.34999999998</v>
      </c>
      <c r="R637" t="s">
        <v>28</v>
      </c>
      <c r="S637" s="1">
        <v>45806</v>
      </c>
    </row>
    <row r="638" spans="1:19" x14ac:dyDescent="0.25">
      <c r="A638" s="5" t="s">
        <v>1313</v>
      </c>
      <c r="B638" s="5" t="s">
        <v>1314</v>
      </c>
      <c r="C638" s="5" t="s">
        <v>31</v>
      </c>
      <c r="D638" s="5">
        <v>27</v>
      </c>
      <c r="E638" s="5" t="s">
        <v>32</v>
      </c>
      <c r="F638" s="5" t="s">
        <v>23</v>
      </c>
      <c r="G638" s="5" t="s">
        <v>24</v>
      </c>
      <c r="H638" s="5">
        <v>400516</v>
      </c>
      <c r="I638">
        <v>564</v>
      </c>
      <c r="J638">
        <v>1858723</v>
      </c>
      <c r="K638">
        <v>84</v>
      </c>
      <c r="L638">
        <v>12.03</v>
      </c>
      <c r="M638" t="s">
        <v>43</v>
      </c>
      <c r="N638" t="s">
        <v>38</v>
      </c>
      <c r="O638" t="s">
        <v>27</v>
      </c>
      <c r="P638">
        <v>24789.61</v>
      </c>
      <c r="Q638">
        <v>706247.48</v>
      </c>
      <c r="R638" t="s">
        <v>28</v>
      </c>
      <c r="S638" s="1">
        <v>45857</v>
      </c>
    </row>
    <row r="639" spans="1:19" x14ac:dyDescent="0.25">
      <c r="A639" s="5" t="s">
        <v>1315</v>
      </c>
      <c r="B639" s="5" t="s">
        <v>1316</v>
      </c>
      <c r="C639" s="5" t="s">
        <v>21</v>
      </c>
      <c r="D639" s="5">
        <v>26</v>
      </c>
      <c r="E639" s="5" t="s">
        <v>32</v>
      </c>
      <c r="F639" s="5" t="s">
        <v>42</v>
      </c>
      <c r="G639" s="5" t="s">
        <v>33</v>
      </c>
      <c r="H639" s="5">
        <v>1998997</v>
      </c>
      <c r="I639">
        <v>601</v>
      </c>
      <c r="J639">
        <v>472906</v>
      </c>
      <c r="K639">
        <v>36</v>
      </c>
      <c r="L639">
        <v>8.94</v>
      </c>
      <c r="M639" t="s">
        <v>57</v>
      </c>
      <c r="N639" t="s">
        <v>26</v>
      </c>
      <c r="O639" t="s">
        <v>27</v>
      </c>
      <c r="P639">
        <v>14310.66</v>
      </c>
      <c r="Q639">
        <v>282623.64</v>
      </c>
      <c r="R639" t="s">
        <v>35</v>
      </c>
      <c r="S639" s="1">
        <v>45592</v>
      </c>
    </row>
    <row r="640" spans="1:19" x14ac:dyDescent="0.25">
      <c r="A640" s="5" t="s">
        <v>1317</v>
      </c>
      <c r="B640" s="5" t="s">
        <v>1318</v>
      </c>
      <c r="C640" s="5" t="s">
        <v>31</v>
      </c>
      <c r="D640" s="5">
        <v>34</v>
      </c>
      <c r="E640" s="5" t="s">
        <v>32</v>
      </c>
      <c r="F640" s="5" t="s">
        <v>42</v>
      </c>
      <c r="G640" s="5" t="s">
        <v>24</v>
      </c>
      <c r="H640" s="5">
        <v>1060976</v>
      </c>
      <c r="I640">
        <v>747</v>
      </c>
      <c r="J640">
        <v>100620</v>
      </c>
      <c r="K640">
        <v>84</v>
      </c>
      <c r="L640">
        <v>11.5</v>
      </c>
      <c r="M640" t="s">
        <v>57</v>
      </c>
      <c r="N640" t="s">
        <v>104</v>
      </c>
      <c r="O640" t="s">
        <v>27</v>
      </c>
      <c r="P640">
        <v>1335.61</v>
      </c>
      <c r="Q640">
        <v>48503.91</v>
      </c>
      <c r="R640" t="s">
        <v>28</v>
      </c>
      <c r="S640" s="1">
        <v>45742</v>
      </c>
    </row>
    <row r="641" spans="1:19" x14ac:dyDescent="0.25">
      <c r="A641" s="5" t="s">
        <v>1319</v>
      </c>
      <c r="B641" s="5" t="s">
        <v>1320</v>
      </c>
      <c r="C641" s="5" t="s">
        <v>31</v>
      </c>
      <c r="D641" s="5">
        <v>39</v>
      </c>
      <c r="E641" s="5" t="s">
        <v>22</v>
      </c>
      <c r="F641" s="5" t="s">
        <v>23</v>
      </c>
      <c r="G641" s="5" t="s">
        <v>24</v>
      </c>
      <c r="H641" s="5">
        <v>1306779</v>
      </c>
      <c r="I641">
        <v>621</v>
      </c>
      <c r="J641">
        <v>1263063</v>
      </c>
      <c r="K641">
        <v>12</v>
      </c>
      <c r="L641">
        <v>14.57</v>
      </c>
      <c r="M641" t="s">
        <v>25</v>
      </c>
      <c r="N641" t="s">
        <v>51</v>
      </c>
      <c r="O641" t="s">
        <v>39</v>
      </c>
      <c r="P641">
        <v>120590.94</v>
      </c>
      <c r="Q641">
        <v>958671.46</v>
      </c>
      <c r="R641" t="s">
        <v>28</v>
      </c>
      <c r="S641" s="1">
        <v>45718</v>
      </c>
    </row>
    <row r="642" spans="1:19" x14ac:dyDescent="0.25">
      <c r="A642" s="5" t="s">
        <v>1321</v>
      </c>
      <c r="B642" s="5" t="s">
        <v>1322</v>
      </c>
      <c r="C642" s="5" t="s">
        <v>31</v>
      </c>
      <c r="D642" s="5">
        <v>45</v>
      </c>
      <c r="E642" s="5" t="s">
        <v>32</v>
      </c>
      <c r="F642" s="5" t="s">
        <v>23</v>
      </c>
      <c r="G642" s="5" t="s">
        <v>24</v>
      </c>
      <c r="H642" s="5">
        <v>1247995</v>
      </c>
      <c r="I642">
        <v>558</v>
      </c>
      <c r="J642">
        <v>523290</v>
      </c>
      <c r="K642">
        <v>84</v>
      </c>
      <c r="L642">
        <v>11.22</v>
      </c>
      <c r="M642" t="s">
        <v>43</v>
      </c>
      <c r="N642" t="s">
        <v>51</v>
      </c>
      <c r="O642" t="s">
        <v>27</v>
      </c>
      <c r="P642">
        <v>6928.61</v>
      </c>
      <c r="Q642">
        <v>103166.26</v>
      </c>
      <c r="R642" t="s">
        <v>28</v>
      </c>
      <c r="S642" s="1">
        <v>45398</v>
      </c>
    </row>
    <row r="643" spans="1:19" x14ac:dyDescent="0.25">
      <c r="A643" s="5" t="s">
        <v>1323</v>
      </c>
      <c r="B643" s="5" t="s">
        <v>1324</v>
      </c>
      <c r="C643" s="5" t="s">
        <v>31</v>
      </c>
      <c r="D643" s="5">
        <v>37</v>
      </c>
      <c r="E643" s="5" t="s">
        <v>22</v>
      </c>
      <c r="F643" s="5" t="s">
        <v>23</v>
      </c>
      <c r="G643" s="5" t="s">
        <v>24</v>
      </c>
      <c r="H643" s="5">
        <v>965320</v>
      </c>
      <c r="I643">
        <v>746</v>
      </c>
      <c r="J643">
        <v>932273</v>
      </c>
      <c r="K643">
        <v>60</v>
      </c>
      <c r="L643">
        <v>9</v>
      </c>
      <c r="M643" t="s">
        <v>25</v>
      </c>
      <c r="N643" t="s">
        <v>38</v>
      </c>
      <c r="O643" t="s">
        <v>27</v>
      </c>
      <c r="P643">
        <v>16936.29</v>
      </c>
      <c r="Q643">
        <v>136951.64000000001</v>
      </c>
      <c r="R643" t="s">
        <v>28</v>
      </c>
      <c r="S643" s="1">
        <v>45691</v>
      </c>
    </row>
    <row r="644" spans="1:19" x14ac:dyDescent="0.25">
      <c r="A644" s="5" t="s">
        <v>1325</v>
      </c>
      <c r="B644" s="5" t="s">
        <v>1326</v>
      </c>
      <c r="C644" s="5" t="s">
        <v>31</v>
      </c>
      <c r="D644" s="5">
        <v>55</v>
      </c>
      <c r="E644" s="5" t="s">
        <v>32</v>
      </c>
      <c r="F644" s="5" t="s">
        <v>23</v>
      </c>
      <c r="G644" s="5" t="s">
        <v>24</v>
      </c>
      <c r="H644" s="5">
        <v>1430006</v>
      </c>
      <c r="I644">
        <v>715</v>
      </c>
      <c r="J644">
        <v>983723</v>
      </c>
      <c r="K644">
        <v>48</v>
      </c>
      <c r="L644">
        <v>13.04</v>
      </c>
      <c r="M644" t="s">
        <v>25</v>
      </c>
      <c r="N644" t="s">
        <v>26</v>
      </c>
      <c r="O644" t="s">
        <v>27</v>
      </c>
      <c r="P644">
        <v>23166.68</v>
      </c>
      <c r="Q644">
        <v>766178.48</v>
      </c>
      <c r="R644" t="s">
        <v>28</v>
      </c>
      <c r="S644" s="1">
        <v>45771</v>
      </c>
    </row>
    <row r="645" spans="1:19" x14ac:dyDescent="0.25">
      <c r="A645" s="5" t="s">
        <v>1327</v>
      </c>
      <c r="B645" s="5" t="s">
        <v>1328</v>
      </c>
      <c r="C645" s="5" t="s">
        <v>21</v>
      </c>
      <c r="D645" s="5">
        <v>54</v>
      </c>
      <c r="E645" s="5" t="s">
        <v>22</v>
      </c>
      <c r="F645" s="5" t="s">
        <v>42</v>
      </c>
      <c r="G645" s="5" t="s">
        <v>24</v>
      </c>
      <c r="H645" s="5">
        <v>321031</v>
      </c>
      <c r="I645">
        <v>774</v>
      </c>
      <c r="J645">
        <v>1675483</v>
      </c>
      <c r="K645">
        <v>60</v>
      </c>
      <c r="L645">
        <v>9.9600000000000009</v>
      </c>
      <c r="M645" t="s">
        <v>57</v>
      </c>
      <c r="N645" t="s">
        <v>51</v>
      </c>
      <c r="O645" t="s">
        <v>27</v>
      </c>
      <c r="P645">
        <v>30706.02</v>
      </c>
      <c r="Q645">
        <v>1235675.3700000001</v>
      </c>
      <c r="R645" t="s">
        <v>28</v>
      </c>
      <c r="S645" s="1">
        <v>45355</v>
      </c>
    </row>
    <row r="646" spans="1:19" x14ac:dyDescent="0.25">
      <c r="A646" s="5" t="s">
        <v>1329</v>
      </c>
      <c r="B646" s="5" t="s">
        <v>1330</v>
      </c>
      <c r="C646" s="5" t="s">
        <v>21</v>
      </c>
      <c r="D646" s="5">
        <v>33</v>
      </c>
      <c r="E646" s="5" t="s">
        <v>22</v>
      </c>
      <c r="F646" s="5" t="s">
        <v>23</v>
      </c>
      <c r="G646" s="5" t="s">
        <v>33</v>
      </c>
      <c r="H646" s="5">
        <v>1966455</v>
      </c>
      <c r="I646">
        <v>654</v>
      </c>
      <c r="J646">
        <v>1048076</v>
      </c>
      <c r="K646">
        <v>24</v>
      </c>
      <c r="L646">
        <v>15.05</v>
      </c>
      <c r="M646" t="s">
        <v>43</v>
      </c>
      <c r="N646" t="s">
        <v>34</v>
      </c>
      <c r="O646" t="s">
        <v>27</v>
      </c>
      <c r="P646">
        <v>50242.14</v>
      </c>
      <c r="Q646">
        <v>230671.99</v>
      </c>
      <c r="R646" t="s">
        <v>28</v>
      </c>
      <c r="S646" s="1">
        <v>45578</v>
      </c>
    </row>
    <row r="647" spans="1:19" x14ac:dyDescent="0.25">
      <c r="A647" s="5" t="s">
        <v>1331</v>
      </c>
      <c r="B647" s="5" t="s">
        <v>1332</v>
      </c>
      <c r="C647" s="5" t="s">
        <v>31</v>
      </c>
      <c r="D647" s="5">
        <v>48</v>
      </c>
      <c r="E647" s="5" t="s">
        <v>32</v>
      </c>
      <c r="F647" s="5" t="s">
        <v>42</v>
      </c>
      <c r="G647" s="5" t="s">
        <v>33</v>
      </c>
      <c r="H647" s="5">
        <v>1101191</v>
      </c>
      <c r="I647">
        <v>763</v>
      </c>
      <c r="J647">
        <v>306779</v>
      </c>
      <c r="K647">
        <v>60</v>
      </c>
      <c r="L647">
        <v>14.95</v>
      </c>
      <c r="M647" t="s">
        <v>54</v>
      </c>
      <c r="N647" t="s">
        <v>26</v>
      </c>
      <c r="O647" t="s">
        <v>27</v>
      </c>
      <c r="P647">
        <v>5877.37</v>
      </c>
      <c r="Q647">
        <v>222571.34</v>
      </c>
      <c r="R647" t="s">
        <v>28</v>
      </c>
      <c r="S647" s="1">
        <v>45372</v>
      </c>
    </row>
    <row r="648" spans="1:19" x14ac:dyDescent="0.25">
      <c r="A648" s="5" t="s">
        <v>1333</v>
      </c>
      <c r="B648" s="5" t="s">
        <v>1334</v>
      </c>
      <c r="C648" s="5" t="s">
        <v>21</v>
      </c>
      <c r="D648" s="5">
        <v>29</v>
      </c>
      <c r="E648" s="5" t="s">
        <v>32</v>
      </c>
      <c r="F648" s="5" t="s">
        <v>23</v>
      </c>
      <c r="G648" s="5" t="s">
        <v>24</v>
      </c>
      <c r="H648" s="5">
        <v>1769827</v>
      </c>
      <c r="I648">
        <v>784</v>
      </c>
      <c r="J648">
        <v>284761</v>
      </c>
      <c r="K648">
        <v>12</v>
      </c>
      <c r="L648">
        <v>13.52</v>
      </c>
      <c r="M648" t="s">
        <v>43</v>
      </c>
      <c r="N648" t="s">
        <v>38</v>
      </c>
      <c r="O648" t="s">
        <v>27</v>
      </c>
      <c r="P648">
        <v>26938.39</v>
      </c>
      <c r="Q648">
        <v>264188.99</v>
      </c>
      <c r="R648" t="s">
        <v>28</v>
      </c>
      <c r="S648" s="1">
        <v>45444</v>
      </c>
    </row>
    <row r="649" spans="1:19" x14ac:dyDescent="0.25">
      <c r="A649" s="5" t="s">
        <v>1335</v>
      </c>
      <c r="B649" s="5" t="s">
        <v>1336</v>
      </c>
      <c r="C649" s="5" t="s">
        <v>31</v>
      </c>
      <c r="D649" s="5">
        <v>46</v>
      </c>
      <c r="E649" s="5" t="s">
        <v>32</v>
      </c>
      <c r="F649" s="5" t="s">
        <v>23</v>
      </c>
      <c r="G649" s="5" t="s">
        <v>24</v>
      </c>
      <c r="H649" s="5">
        <v>677783</v>
      </c>
      <c r="I649">
        <v>643</v>
      </c>
      <c r="J649">
        <v>1861710</v>
      </c>
      <c r="K649">
        <v>240</v>
      </c>
      <c r="L649">
        <v>11.35</v>
      </c>
      <c r="M649" t="s">
        <v>54</v>
      </c>
      <c r="N649" t="s">
        <v>38</v>
      </c>
      <c r="O649" t="s">
        <v>39</v>
      </c>
      <c r="P649">
        <v>8637.56</v>
      </c>
      <c r="Q649">
        <v>826842.9</v>
      </c>
      <c r="R649" t="s">
        <v>28</v>
      </c>
      <c r="S649" s="1">
        <v>45539</v>
      </c>
    </row>
    <row r="650" spans="1:19" x14ac:dyDescent="0.25">
      <c r="A650" s="5" t="s">
        <v>1337</v>
      </c>
      <c r="B650" s="5" t="s">
        <v>1338</v>
      </c>
      <c r="C650" s="5" t="s">
        <v>21</v>
      </c>
      <c r="D650" s="5">
        <v>44</v>
      </c>
      <c r="E650" s="5" t="s">
        <v>22</v>
      </c>
      <c r="F650" s="5" t="s">
        <v>23</v>
      </c>
      <c r="G650" s="5" t="s">
        <v>24</v>
      </c>
      <c r="H650" s="5">
        <v>579776</v>
      </c>
      <c r="I650">
        <v>623</v>
      </c>
      <c r="J650">
        <v>762735</v>
      </c>
      <c r="K650">
        <v>48</v>
      </c>
      <c r="L650">
        <v>14.48</v>
      </c>
      <c r="M650" t="s">
        <v>43</v>
      </c>
      <c r="N650" t="s">
        <v>34</v>
      </c>
      <c r="O650" t="s">
        <v>39</v>
      </c>
      <c r="P650">
        <v>18191.23</v>
      </c>
      <c r="Q650">
        <v>80500.59</v>
      </c>
      <c r="R650" t="s">
        <v>28</v>
      </c>
      <c r="S650" s="1">
        <v>45491</v>
      </c>
    </row>
    <row r="651" spans="1:19" x14ac:dyDescent="0.25">
      <c r="A651" s="5" t="s">
        <v>1339</v>
      </c>
      <c r="B651" s="5" t="s">
        <v>1340</v>
      </c>
      <c r="C651" s="5" t="s">
        <v>21</v>
      </c>
      <c r="D651" s="5">
        <v>43</v>
      </c>
      <c r="E651" s="5" t="s">
        <v>32</v>
      </c>
      <c r="F651" s="5" t="s">
        <v>23</v>
      </c>
      <c r="G651" s="5" t="s">
        <v>33</v>
      </c>
      <c r="H651" s="5">
        <v>1765422</v>
      </c>
      <c r="I651">
        <v>823</v>
      </c>
      <c r="J651">
        <v>1571562</v>
      </c>
      <c r="K651">
        <v>240</v>
      </c>
      <c r="L651">
        <v>9.69</v>
      </c>
      <c r="M651" t="s">
        <v>57</v>
      </c>
      <c r="N651" t="s">
        <v>44</v>
      </c>
      <c r="O651" t="s">
        <v>27</v>
      </c>
      <c r="P651">
        <v>7182.69</v>
      </c>
      <c r="Q651">
        <v>912266.43</v>
      </c>
      <c r="R651" t="s">
        <v>28</v>
      </c>
      <c r="S651" s="1">
        <v>45392</v>
      </c>
    </row>
    <row r="652" spans="1:19" x14ac:dyDescent="0.25">
      <c r="A652" s="5" t="s">
        <v>1341</v>
      </c>
      <c r="B652" s="5" t="s">
        <v>1342</v>
      </c>
      <c r="C652" s="5" t="s">
        <v>31</v>
      </c>
      <c r="D652" s="5">
        <v>49</v>
      </c>
      <c r="E652" s="5" t="s">
        <v>32</v>
      </c>
      <c r="F652" s="5" t="s">
        <v>23</v>
      </c>
      <c r="G652" s="5" t="s">
        <v>33</v>
      </c>
      <c r="H652" s="5">
        <v>1769718</v>
      </c>
      <c r="I652">
        <v>710</v>
      </c>
      <c r="J652">
        <v>1544023</v>
      </c>
      <c r="K652">
        <v>120</v>
      </c>
      <c r="L652">
        <v>9.76</v>
      </c>
      <c r="M652" t="s">
        <v>54</v>
      </c>
      <c r="N652" t="s">
        <v>26</v>
      </c>
      <c r="O652" t="s">
        <v>27</v>
      </c>
      <c r="P652">
        <v>14122.66</v>
      </c>
      <c r="Q652">
        <v>1363317.51</v>
      </c>
      <c r="R652" t="s">
        <v>28</v>
      </c>
      <c r="S652" s="1">
        <v>45658</v>
      </c>
    </row>
    <row r="653" spans="1:19" x14ac:dyDescent="0.25">
      <c r="A653" s="5" t="s">
        <v>1343</v>
      </c>
      <c r="B653" s="5" t="s">
        <v>1344</v>
      </c>
      <c r="C653" s="5" t="s">
        <v>31</v>
      </c>
      <c r="D653" s="5">
        <v>49</v>
      </c>
      <c r="E653" s="5" t="s">
        <v>32</v>
      </c>
      <c r="F653" s="5" t="s">
        <v>42</v>
      </c>
      <c r="G653" s="5" t="s">
        <v>24</v>
      </c>
      <c r="H653" s="5">
        <v>317005</v>
      </c>
      <c r="I653">
        <v>711</v>
      </c>
      <c r="J653">
        <v>1578759</v>
      </c>
      <c r="K653">
        <v>12</v>
      </c>
      <c r="L653">
        <v>7.69</v>
      </c>
      <c r="M653" t="s">
        <v>57</v>
      </c>
      <c r="N653" t="s">
        <v>38</v>
      </c>
      <c r="O653" t="s">
        <v>39</v>
      </c>
      <c r="P653">
        <v>141680.46</v>
      </c>
      <c r="Q653">
        <v>400658.99</v>
      </c>
      <c r="R653" t="s">
        <v>28</v>
      </c>
      <c r="S653" s="1">
        <v>45705</v>
      </c>
    </row>
    <row r="654" spans="1:19" x14ac:dyDescent="0.25">
      <c r="A654" s="5" t="s">
        <v>1345</v>
      </c>
      <c r="B654" s="5" t="s">
        <v>1346</v>
      </c>
      <c r="C654" s="5" t="s">
        <v>31</v>
      </c>
      <c r="D654" s="5">
        <v>55</v>
      </c>
      <c r="E654" s="5" t="s">
        <v>32</v>
      </c>
      <c r="F654" s="5" t="s">
        <v>23</v>
      </c>
      <c r="G654" s="5" t="s">
        <v>24</v>
      </c>
      <c r="H654" s="5">
        <v>469822</v>
      </c>
      <c r="I654">
        <v>841</v>
      </c>
      <c r="J654">
        <v>1058956</v>
      </c>
      <c r="K654">
        <v>24</v>
      </c>
      <c r="L654">
        <v>12.69</v>
      </c>
      <c r="M654" t="s">
        <v>54</v>
      </c>
      <c r="N654" t="s">
        <v>44</v>
      </c>
      <c r="O654" t="s">
        <v>27</v>
      </c>
      <c r="P654">
        <v>49722.400000000001</v>
      </c>
      <c r="Q654">
        <v>161739.82</v>
      </c>
      <c r="R654" t="s">
        <v>28</v>
      </c>
      <c r="S654" s="1">
        <v>45750</v>
      </c>
    </row>
    <row r="655" spans="1:19" x14ac:dyDescent="0.25">
      <c r="A655" s="5" t="s">
        <v>1347</v>
      </c>
      <c r="B655" s="5" t="s">
        <v>1348</v>
      </c>
      <c r="C655" s="5" t="s">
        <v>31</v>
      </c>
      <c r="D655" s="5">
        <v>38</v>
      </c>
      <c r="E655" s="5" t="s">
        <v>32</v>
      </c>
      <c r="F655" s="5" t="s">
        <v>42</v>
      </c>
      <c r="G655" s="5" t="s">
        <v>24</v>
      </c>
      <c r="H655" s="5">
        <v>1848896</v>
      </c>
      <c r="I655">
        <v>646</v>
      </c>
      <c r="J655">
        <v>581450</v>
      </c>
      <c r="K655">
        <v>60</v>
      </c>
      <c r="L655">
        <v>9.25</v>
      </c>
      <c r="M655" t="s">
        <v>57</v>
      </c>
      <c r="N655" t="s">
        <v>26</v>
      </c>
      <c r="O655" t="s">
        <v>39</v>
      </c>
      <c r="P655">
        <v>10587.24</v>
      </c>
      <c r="Q655">
        <v>99248.2</v>
      </c>
      <c r="R655" t="s">
        <v>28</v>
      </c>
      <c r="S655" s="1">
        <v>45780</v>
      </c>
    </row>
    <row r="656" spans="1:19" x14ac:dyDescent="0.25">
      <c r="A656" s="5" t="s">
        <v>1349</v>
      </c>
      <c r="B656" s="5" t="s">
        <v>1350</v>
      </c>
      <c r="C656" s="5" t="s">
        <v>21</v>
      </c>
      <c r="D656" s="5">
        <v>52</v>
      </c>
      <c r="E656" s="5" t="s">
        <v>32</v>
      </c>
      <c r="F656" s="5" t="s">
        <v>42</v>
      </c>
      <c r="G656" s="5" t="s">
        <v>33</v>
      </c>
      <c r="H656" s="5">
        <v>300413</v>
      </c>
      <c r="I656">
        <v>582</v>
      </c>
      <c r="J656">
        <v>1837596</v>
      </c>
      <c r="K656">
        <v>36</v>
      </c>
      <c r="L656">
        <v>14.1</v>
      </c>
      <c r="M656" t="s">
        <v>25</v>
      </c>
      <c r="N656" t="s">
        <v>26</v>
      </c>
      <c r="O656" t="s">
        <v>27</v>
      </c>
      <c r="P656">
        <v>58241.58</v>
      </c>
      <c r="Q656">
        <v>1471952.45</v>
      </c>
      <c r="R656" t="s">
        <v>28</v>
      </c>
      <c r="S656" s="1">
        <v>45736</v>
      </c>
    </row>
    <row r="657" spans="1:19" x14ac:dyDescent="0.25">
      <c r="A657" s="5" t="s">
        <v>1351</v>
      </c>
      <c r="B657" s="5" t="s">
        <v>1352</v>
      </c>
      <c r="C657" s="5" t="s">
        <v>21</v>
      </c>
      <c r="D657" s="5">
        <v>49</v>
      </c>
      <c r="E657" s="5" t="s">
        <v>22</v>
      </c>
      <c r="F657" s="5" t="s">
        <v>23</v>
      </c>
      <c r="G657" s="5" t="s">
        <v>33</v>
      </c>
      <c r="H657" s="5">
        <v>1317662</v>
      </c>
      <c r="I657">
        <v>737</v>
      </c>
      <c r="J657">
        <v>1927396</v>
      </c>
      <c r="K657">
        <v>12</v>
      </c>
      <c r="L657">
        <v>10.39</v>
      </c>
      <c r="M657" t="s">
        <v>5</v>
      </c>
      <c r="N657" t="s">
        <v>51</v>
      </c>
      <c r="O657" t="s">
        <v>27</v>
      </c>
      <c r="P657">
        <v>177304.37</v>
      </c>
      <c r="Q657">
        <v>1009550.71</v>
      </c>
      <c r="R657" t="s">
        <v>28</v>
      </c>
      <c r="S657" s="1">
        <v>45509</v>
      </c>
    </row>
    <row r="658" spans="1:19" x14ac:dyDescent="0.25">
      <c r="A658" s="5" t="s">
        <v>1353</v>
      </c>
      <c r="B658" s="5" t="s">
        <v>1354</v>
      </c>
      <c r="C658" s="5" t="s">
        <v>21</v>
      </c>
      <c r="D658" s="5">
        <v>36</v>
      </c>
      <c r="E658" s="5" t="s">
        <v>22</v>
      </c>
      <c r="F658" s="5" t="s">
        <v>42</v>
      </c>
      <c r="G658" s="5" t="s">
        <v>33</v>
      </c>
      <c r="H658" s="5">
        <v>389887</v>
      </c>
      <c r="I658">
        <v>645</v>
      </c>
      <c r="J658">
        <v>1205174</v>
      </c>
      <c r="K658">
        <v>240</v>
      </c>
      <c r="L658">
        <v>9.33</v>
      </c>
      <c r="M658" t="s">
        <v>43</v>
      </c>
      <c r="N658" t="s">
        <v>34</v>
      </c>
      <c r="O658" t="s">
        <v>27</v>
      </c>
      <c r="P658">
        <v>5490.07</v>
      </c>
      <c r="Q658">
        <v>458017.5</v>
      </c>
      <c r="R658" t="s">
        <v>28</v>
      </c>
      <c r="S658" s="1">
        <v>45554</v>
      </c>
    </row>
    <row r="659" spans="1:19" x14ac:dyDescent="0.25">
      <c r="A659" s="5" t="s">
        <v>1355</v>
      </c>
      <c r="B659" s="5" t="s">
        <v>1356</v>
      </c>
      <c r="C659" s="5" t="s">
        <v>21</v>
      </c>
      <c r="D659" s="5">
        <v>28</v>
      </c>
      <c r="E659" s="5" t="s">
        <v>32</v>
      </c>
      <c r="F659" s="5" t="s">
        <v>23</v>
      </c>
      <c r="G659" s="5" t="s">
        <v>24</v>
      </c>
      <c r="H659" s="5">
        <v>1597482</v>
      </c>
      <c r="I659">
        <v>821</v>
      </c>
      <c r="J659">
        <v>459121</v>
      </c>
      <c r="K659">
        <v>84</v>
      </c>
      <c r="L659">
        <v>9.59</v>
      </c>
      <c r="M659" t="s">
        <v>43</v>
      </c>
      <c r="N659" t="s">
        <v>44</v>
      </c>
      <c r="O659" t="s">
        <v>27</v>
      </c>
      <c r="P659">
        <v>5989.89</v>
      </c>
      <c r="Q659">
        <v>405619.28</v>
      </c>
      <c r="R659" t="s">
        <v>28</v>
      </c>
      <c r="S659" s="1">
        <v>45711</v>
      </c>
    </row>
    <row r="660" spans="1:19" x14ac:dyDescent="0.25">
      <c r="A660" s="5" t="s">
        <v>1357</v>
      </c>
      <c r="B660" s="5" t="s">
        <v>1358</v>
      </c>
      <c r="C660" s="5" t="s">
        <v>31</v>
      </c>
      <c r="D660" s="5">
        <v>40</v>
      </c>
      <c r="E660" s="5" t="s">
        <v>32</v>
      </c>
      <c r="F660" s="5" t="s">
        <v>42</v>
      </c>
      <c r="G660" s="5" t="s">
        <v>33</v>
      </c>
      <c r="H660" s="5">
        <v>261051</v>
      </c>
      <c r="I660">
        <v>586</v>
      </c>
      <c r="J660">
        <v>1956624</v>
      </c>
      <c r="K660">
        <v>24</v>
      </c>
      <c r="L660">
        <v>11.83</v>
      </c>
      <c r="M660" t="s">
        <v>54</v>
      </c>
      <c r="N660" t="s">
        <v>104</v>
      </c>
      <c r="O660" t="s">
        <v>27</v>
      </c>
      <c r="P660">
        <v>91170.53</v>
      </c>
      <c r="Q660">
        <v>1472485.75</v>
      </c>
      <c r="R660" t="s">
        <v>28</v>
      </c>
      <c r="S660" s="1">
        <v>45946</v>
      </c>
    </row>
    <row r="661" spans="1:19" x14ac:dyDescent="0.25">
      <c r="A661" s="5" t="s">
        <v>1359</v>
      </c>
      <c r="B661" s="5" t="s">
        <v>1360</v>
      </c>
      <c r="C661" s="5" t="s">
        <v>21</v>
      </c>
      <c r="D661" s="5">
        <v>39</v>
      </c>
      <c r="E661" s="5" t="s">
        <v>22</v>
      </c>
      <c r="F661" s="5" t="s">
        <v>42</v>
      </c>
      <c r="G661" s="5" t="s">
        <v>33</v>
      </c>
      <c r="H661" s="5">
        <v>1827582</v>
      </c>
      <c r="I661">
        <v>739</v>
      </c>
      <c r="J661">
        <v>1228118</v>
      </c>
      <c r="K661">
        <v>120</v>
      </c>
      <c r="L661">
        <v>13.62</v>
      </c>
      <c r="M661" t="s">
        <v>25</v>
      </c>
      <c r="N661" t="s">
        <v>51</v>
      </c>
      <c r="O661" t="s">
        <v>27</v>
      </c>
      <c r="P661">
        <v>11628.23</v>
      </c>
      <c r="Q661">
        <v>191014.2</v>
      </c>
      <c r="R661" t="s">
        <v>28</v>
      </c>
      <c r="S661" s="1">
        <v>45989</v>
      </c>
    </row>
    <row r="662" spans="1:19" x14ac:dyDescent="0.25">
      <c r="A662" s="5" t="s">
        <v>1361</v>
      </c>
      <c r="B662" s="5" t="s">
        <v>1362</v>
      </c>
      <c r="C662" s="5" t="s">
        <v>31</v>
      </c>
      <c r="D662" s="5">
        <v>47</v>
      </c>
      <c r="E662" s="5" t="s">
        <v>22</v>
      </c>
      <c r="F662" s="5" t="s">
        <v>23</v>
      </c>
      <c r="G662" s="5" t="s">
        <v>33</v>
      </c>
      <c r="H662" s="5">
        <v>1438081</v>
      </c>
      <c r="I662">
        <v>550</v>
      </c>
      <c r="J662">
        <v>861274</v>
      </c>
      <c r="K662">
        <v>48</v>
      </c>
      <c r="L662">
        <v>9.3699999999999992</v>
      </c>
      <c r="M662" t="s">
        <v>54</v>
      </c>
      <c r="N662" t="s">
        <v>44</v>
      </c>
      <c r="O662" t="s">
        <v>39</v>
      </c>
      <c r="P662">
        <v>19624.490000000002</v>
      </c>
      <c r="Q662">
        <v>459039.7</v>
      </c>
      <c r="R662" t="s">
        <v>28</v>
      </c>
      <c r="S662" s="1">
        <v>45938</v>
      </c>
    </row>
    <row r="663" spans="1:19" x14ac:dyDescent="0.25">
      <c r="A663" s="5" t="s">
        <v>1363</v>
      </c>
      <c r="B663" s="5" t="s">
        <v>1364</v>
      </c>
      <c r="C663" s="5" t="s">
        <v>21</v>
      </c>
      <c r="D663" s="5">
        <v>51</v>
      </c>
      <c r="E663" s="5" t="s">
        <v>32</v>
      </c>
      <c r="F663" s="5" t="s">
        <v>23</v>
      </c>
      <c r="G663" s="5" t="s">
        <v>24</v>
      </c>
      <c r="H663" s="5">
        <v>429308</v>
      </c>
      <c r="I663">
        <v>849</v>
      </c>
      <c r="J663">
        <v>999306</v>
      </c>
      <c r="K663">
        <v>180</v>
      </c>
      <c r="L663">
        <v>10.25</v>
      </c>
      <c r="M663" t="s">
        <v>54</v>
      </c>
      <c r="N663" t="s">
        <v>26</v>
      </c>
      <c r="O663" t="s">
        <v>27</v>
      </c>
      <c r="P663">
        <v>6120.75</v>
      </c>
      <c r="Q663">
        <v>718289.59</v>
      </c>
      <c r="R663" t="s">
        <v>28</v>
      </c>
      <c r="S663" s="1">
        <v>45310</v>
      </c>
    </row>
    <row r="664" spans="1:19" x14ac:dyDescent="0.25">
      <c r="A664" s="5" t="s">
        <v>1365</v>
      </c>
      <c r="B664" s="5" t="s">
        <v>1366</v>
      </c>
      <c r="C664" s="5" t="s">
        <v>31</v>
      </c>
      <c r="D664" s="5">
        <v>55</v>
      </c>
      <c r="E664" s="5" t="s">
        <v>32</v>
      </c>
      <c r="F664" s="5" t="s">
        <v>23</v>
      </c>
      <c r="G664" s="5" t="s">
        <v>24</v>
      </c>
      <c r="H664" s="5">
        <v>411903</v>
      </c>
      <c r="I664">
        <v>798</v>
      </c>
      <c r="J664">
        <v>411519</v>
      </c>
      <c r="K664">
        <v>180</v>
      </c>
      <c r="L664">
        <v>10.81</v>
      </c>
      <c r="M664" t="s">
        <v>25</v>
      </c>
      <c r="N664" t="s">
        <v>44</v>
      </c>
      <c r="O664" t="s">
        <v>27</v>
      </c>
      <c r="P664">
        <v>2533.36</v>
      </c>
      <c r="Q664">
        <v>355600.25</v>
      </c>
      <c r="R664" t="s">
        <v>28</v>
      </c>
      <c r="S664" s="1">
        <v>45981</v>
      </c>
    </row>
    <row r="665" spans="1:19" x14ac:dyDescent="0.25">
      <c r="A665" s="5" t="s">
        <v>1367</v>
      </c>
      <c r="B665" s="5" t="s">
        <v>1368</v>
      </c>
      <c r="C665" s="5" t="s">
        <v>21</v>
      </c>
      <c r="D665" s="5">
        <v>41</v>
      </c>
      <c r="E665" s="5" t="s">
        <v>22</v>
      </c>
      <c r="F665" s="5" t="s">
        <v>42</v>
      </c>
      <c r="G665" s="5" t="s">
        <v>24</v>
      </c>
      <c r="H665" s="5">
        <v>1933983</v>
      </c>
      <c r="I665">
        <v>793</v>
      </c>
      <c r="J665">
        <v>1778253</v>
      </c>
      <c r="K665">
        <v>48</v>
      </c>
      <c r="L665">
        <v>11.95</v>
      </c>
      <c r="M665" t="s">
        <v>25</v>
      </c>
      <c r="N665" t="s">
        <v>38</v>
      </c>
      <c r="O665" t="s">
        <v>27</v>
      </c>
      <c r="P665">
        <v>41474.050000000003</v>
      </c>
      <c r="Q665">
        <v>1503668.23</v>
      </c>
      <c r="R665" t="s">
        <v>28</v>
      </c>
      <c r="S665" s="1">
        <v>45691</v>
      </c>
    </row>
    <row r="666" spans="1:19" x14ac:dyDescent="0.25">
      <c r="A666" s="5" t="s">
        <v>1369</v>
      </c>
      <c r="B666" s="5" t="s">
        <v>1370</v>
      </c>
      <c r="C666" s="5" t="s">
        <v>21</v>
      </c>
      <c r="D666" s="5">
        <v>36</v>
      </c>
      <c r="E666" s="5" t="s">
        <v>22</v>
      </c>
      <c r="F666" s="5" t="s">
        <v>23</v>
      </c>
      <c r="G666" s="5" t="s">
        <v>33</v>
      </c>
      <c r="H666" s="5">
        <v>1800889</v>
      </c>
      <c r="I666">
        <v>601</v>
      </c>
      <c r="J666">
        <v>1938562</v>
      </c>
      <c r="K666">
        <v>24</v>
      </c>
      <c r="L666">
        <v>7.98</v>
      </c>
      <c r="M666" t="s">
        <v>5</v>
      </c>
      <c r="N666" t="s">
        <v>34</v>
      </c>
      <c r="O666" t="s">
        <v>39</v>
      </c>
      <c r="P666">
        <v>87219.14</v>
      </c>
      <c r="Q666">
        <v>1304025.69</v>
      </c>
      <c r="R666" t="s">
        <v>28</v>
      </c>
      <c r="S666" s="1">
        <v>45921</v>
      </c>
    </row>
    <row r="667" spans="1:19" x14ac:dyDescent="0.25">
      <c r="A667" s="5" t="s">
        <v>1371</v>
      </c>
      <c r="B667" s="5" t="s">
        <v>1372</v>
      </c>
      <c r="C667" s="5" t="s">
        <v>21</v>
      </c>
      <c r="D667" s="5">
        <v>60</v>
      </c>
      <c r="E667" s="5" t="s">
        <v>22</v>
      </c>
      <c r="F667" s="5" t="s">
        <v>23</v>
      </c>
      <c r="G667" s="5" t="s">
        <v>33</v>
      </c>
      <c r="H667" s="5">
        <v>961126</v>
      </c>
      <c r="I667">
        <v>764</v>
      </c>
      <c r="J667">
        <v>750198</v>
      </c>
      <c r="K667">
        <v>240</v>
      </c>
      <c r="L667">
        <v>13.52</v>
      </c>
      <c r="M667" t="s">
        <v>43</v>
      </c>
      <c r="N667" t="s">
        <v>34</v>
      </c>
      <c r="O667" t="s">
        <v>27</v>
      </c>
      <c r="P667">
        <v>3548.44</v>
      </c>
      <c r="Q667">
        <v>749221.6</v>
      </c>
      <c r="R667" t="s">
        <v>28</v>
      </c>
      <c r="S667" s="1">
        <v>45813</v>
      </c>
    </row>
    <row r="668" spans="1:19" x14ac:dyDescent="0.25">
      <c r="A668" s="5" t="s">
        <v>1373</v>
      </c>
      <c r="B668" s="5" t="s">
        <v>1374</v>
      </c>
      <c r="C668" s="5" t="s">
        <v>21</v>
      </c>
      <c r="D668" s="5">
        <v>32</v>
      </c>
      <c r="E668" s="5" t="s">
        <v>22</v>
      </c>
      <c r="F668" s="5" t="s">
        <v>23</v>
      </c>
      <c r="G668" s="5" t="s">
        <v>33</v>
      </c>
      <c r="H668" s="5">
        <v>1324692</v>
      </c>
      <c r="I668">
        <v>775</v>
      </c>
      <c r="J668">
        <v>1346099</v>
      </c>
      <c r="K668">
        <v>84</v>
      </c>
      <c r="L668">
        <v>15.29</v>
      </c>
      <c r="M668" t="s">
        <v>43</v>
      </c>
      <c r="N668" t="s">
        <v>38</v>
      </c>
      <c r="O668" t="s">
        <v>27</v>
      </c>
      <c r="P668">
        <v>18475.21</v>
      </c>
      <c r="Q668">
        <v>361034.35</v>
      </c>
      <c r="R668" t="s">
        <v>28</v>
      </c>
      <c r="S668" s="1">
        <v>45820</v>
      </c>
    </row>
    <row r="669" spans="1:19" x14ac:dyDescent="0.25">
      <c r="A669" s="5" t="s">
        <v>1375</v>
      </c>
      <c r="B669" s="5" t="s">
        <v>1376</v>
      </c>
      <c r="C669" s="5" t="s">
        <v>21</v>
      </c>
      <c r="D669" s="5">
        <v>48</v>
      </c>
      <c r="E669" s="5" t="s">
        <v>22</v>
      </c>
      <c r="F669" s="5" t="s">
        <v>23</v>
      </c>
      <c r="G669" s="5" t="s">
        <v>33</v>
      </c>
      <c r="H669" s="5">
        <v>1883365</v>
      </c>
      <c r="I669">
        <v>604</v>
      </c>
      <c r="J669">
        <v>739991</v>
      </c>
      <c r="K669">
        <v>180</v>
      </c>
      <c r="L669">
        <v>7.96</v>
      </c>
      <c r="M669" t="s">
        <v>25</v>
      </c>
      <c r="N669" t="s">
        <v>104</v>
      </c>
      <c r="O669" t="s">
        <v>39</v>
      </c>
      <c r="P669">
        <v>4438.3</v>
      </c>
      <c r="Q669">
        <v>113083.85</v>
      </c>
      <c r="R669" t="s">
        <v>28</v>
      </c>
      <c r="S669" s="1">
        <v>45656</v>
      </c>
    </row>
    <row r="670" spans="1:19" x14ac:dyDescent="0.25">
      <c r="A670" s="5" t="s">
        <v>1377</v>
      </c>
      <c r="B670" s="5" t="s">
        <v>1378</v>
      </c>
      <c r="C670" s="5" t="s">
        <v>31</v>
      </c>
      <c r="D670" s="5">
        <v>35</v>
      </c>
      <c r="E670" s="5" t="s">
        <v>22</v>
      </c>
      <c r="F670" s="5" t="s">
        <v>23</v>
      </c>
      <c r="G670" s="5" t="s">
        <v>24</v>
      </c>
      <c r="H670" s="5">
        <v>1931489</v>
      </c>
      <c r="I670">
        <v>587</v>
      </c>
      <c r="J670">
        <v>1258570</v>
      </c>
      <c r="K670">
        <v>120</v>
      </c>
      <c r="L670">
        <v>10.99</v>
      </c>
      <c r="M670" t="s">
        <v>43</v>
      </c>
      <c r="N670" t="s">
        <v>44</v>
      </c>
      <c r="O670" t="s">
        <v>27</v>
      </c>
      <c r="P670">
        <v>11640.72</v>
      </c>
      <c r="Q670">
        <v>725373.75</v>
      </c>
      <c r="R670" t="s">
        <v>28</v>
      </c>
      <c r="S670" s="1">
        <v>45718</v>
      </c>
    </row>
    <row r="671" spans="1:19" x14ac:dyDescent="0.25">
      <c r="A671" s="5" t="s">
        <v>1379</v>
      </c>
      <c r="B671" s="5" t="s">
        <v>1380</v>
      </c>
      <c r="C671" s="5" t="s">
        <v>21</v>
      </c>
      <c r="D671" s="5">
        <v>21</v>
      </c>
      <c r="E671" s="5" t="s">
        <v>32</v>
      </c>
      <c r="F671" s="5" t="s">
        <v>23</v>
      </c>
      <c r="G671" s="5" t="s">
        <v>33</v>
      </c>
      <c r="H671" s="5">
        <v>563600</v>
      </c>
      <c r="I671">
        <v>613</v>
      </c>
      <c r="J671">
        <v>461245</v>
      </c>
      <c r="K671">
        <v>12</v>
      </c>
      <c r="L671">
        <v>8.4</v>
      </c>
      <c r="M671" t="s">
        <v>43</v>
      </c>
      <c r="N671" t="s">
        <v>38</v>
      </c>
      <c r="O671" t="s">
        <v>27</v>
      </c>
      <c r="P671">
        <v>41665.800000000003</v>
      </c>
      <c r="Q671">
        <v>148142.64000000001</v>
      </c>
      <c r="R671" t="s">
        <v>35</v>
      </c>
      <c r="S671" s="1">
        <v>45659</v>
      </c>
    </row>
    <row r="672" spans="1:19" x14ac:dyDescent="0.25">
      <c r="A672" s="5" t="s">
        <v>1381</v>
      </c>
      <c r="B672" s="5" t="s">
        <v>1382</v>
      </c>
      <c r="C672" s="5" t="s">
        <v>31</v>
      </c>
      <c r="D672" s="5">
        <v>37</v>
      </c>
      <c r="E672" s="5" t="s">
        <v>22</v>
      </c>
      <c r="F672" s="5" t="s">
        <v>42</v>
      </c>
      <c r="G672" s="5" t="s">
        <v>24</v>
      </c>
      <c r="H672" s="5">
        <v>1378063</v>
      </c>
      <c r="I672">
        <v>598</v>
      </c>
      <c r="J672">
        <v>491520</v>
      </c>
      <c r="K672">
        <v>120</v>
      </c>
      <c r="L672">
        <v>9.3800000000000008</v>
      </c>
      <c r="M672" t="s">
        <v>43</v>
      </c>
      <c r="N672" t="s">
        <v>34</v>
      </c>
      <c r="O672" t="s">
        <v>27</v>
      </c>
      <c r="P672">
        <v>4480.2</v>
      </c>
      <c r="Q672">
        <v>122863.79</v>
      </c>
      <c r="R672" t="s">
        <v>35</v>
      </c>
      <c r="S672" s="1">
        <v>45729</v>
      </c>
    </row>
    <row r="673" spans="1:19" x14ac:dyDescent="0.25">
      <c r="A673" s="5" t="s">
        <v>1383</v>
      </c>
      <c r="B673" s="5" t="s">
        <v>1384</v>
      </c>
      <c r="C673" s="5" t="s">
        <v>21</v>
      </c>
      <c r="D673" s="5">
        <v>31</v>
      </c>
      <c r="E673" s="5" t="s">
        <v>22</v>
      </c>
      <c r="F673" s="5" t="s">
        <v>42</v>
      </c>
      <c r="G673" s="5" t="s">
        <v>33</v>
      </c>
      <c r="H673" s="5">
        <v>1360389</v>
      </c>
      <c r="I673">
        <v>562</v>
      </c>
      <c r="J673">
        <v>1185734</v>
      </c>
      <c r="K673">
        <v>12</v>
      </c>
      <c r="L673">
        <v>14.87</v>
      </c>
      <c r="M673" t="s">
        <v>54</v>
      </c>
      <c r="N673" t="s">
        <v>26</v>
      </c>
      <c r="O673" t="s">
        <v>39</v>
      </c>
      <c r="P673">
        <v>113504.39</v>
      </c>
      <c r="Q673">
        <v>342229.39</v>
      </c>
      <c r="R673" t="s">
        <v>28</v>
      </c>
      <c r="S673" s="1">
        <v>45437</v>
      </c>
    </row>
    <row r="674" spans="1:19" x14ac:dyDescent="0.25">
      <c r="A674" s="5" t="s">
        <v>1385</v>
      </c>
      <c r="B674" s="5" t="s">
        <v>1386</v>
      </c>
      <c r="C674" s="5" t="s">
        <v>21</v>
      </c>
      <c r="D674" s="5">
        <v>21</v>
      </c>
      <c r="E674" s="5" t="s">
        <v>22</v>
      </c>
      <c r="F674" s="5" t="s">
        <v>23</v>
      </c>
      <c r="G674" s="5" t="s">
        <v>33</v>
      </c>
      <c r="H674" s="5">
        <v>1269009</v>
      </c>
      <c r="I674">
        <v>558</v>
      </c>
      <c r="J674">
        <v>781212</v>
      </c>
      <c r="K674">
        <v>60</v>
      </c>
      <c r="L674">
        <v>9.6300000000000008</v>
      </c>
      <c r="M674" t="s">
        <v>54</v>
      </c>
      <c r="N674" t="s">
        <v>51</v>
      </c>
      <c r="O674" t="s">
        <v>27</v>
      </c>
      <c r="P674">
        <v>14274.05</v>
      </c>
      <c r="Q674">
        <v>612078.23</v>
      </c>
      <c r="R674" t="s">
        <v>35</v>
      </c>
      <c r="S674" s="1">
        <v>45371</v>
      </c>
    </row>
    <row r="675" spans="1:19" x14ac:dyDescent="0.25">
      <c r="A675" s="5" t="s">
        <v>1387</v>
      </c>
      <c r="B675" s="5" t="s">
        <v>1388</v>
      </c>
      <c r="C675" s="5" t="s">
        <v>31</v>
      </c>
      <c r="D675" s="5">
        <v>42</v>
      </c>
      <c r="E675" s="5" t="s">
        <v>32</v>
      </c>
      <c r="F675" s="5" t="s">
        <v>23</v>
      </c>
      <c r="G675" s="5" t="s">
        <v>24</v>
      </c>
      <c r="H675" s="5">
        <v>1734346</v>
      </c>
      <c r="I675">
        <v>756</v>
      </c>
      <c r="J675">
        <v>124996</v>
      </c>
      <c r="K675">
        <v>36</v>
      </c>
      <c r="L675">
        <v>10.35</v>
      </c>
      <c r="M675" t="s">
        <v>5</v>
      </c>
      <c r="N675" t="s">
        <v>104</v>
      </c>
      <c r="O675" t="s">
        <v>27</v>
      </c>
      <c r="P675">
        <v>3831.47</v>
      </c>
      <c r="Q675">
        <v>113462.35</v>
      </c>
      <c r="R675" t="s">
        <v>28</v>
      </c>
      <c r="S675" s="1">
        <v>45752</v>
      </c>
    </row>
    <row r="676" spans="1:19" x14ac:dyDescent="0.25">
      <c r="A676" s="5" t="s">
        <v>1389</v>
      </c>
      <c r="B676" s="5" t="s">
        <v>1390</v>
      </c>
      <c r="C676" s="5" t="s">
        <v>31</v>
      </c>
      <c r="D676" s="5">
        <v>31</v>
      </c>
      <c r="E676" s="5" t="s">
        <v>22</v>
      </c>
      <c r="F676" s="5" t="s">
        <v>23</v>
      </c>
      <c r="G676" s="5" t="s">
        <v>33</v>
      </c>
      <c r="H676" s="5">
        <v>669490</v>
      </c>
      <c r="I676">
        <v>691</v>
      </c>
      <c r="J676">
        <v>1524632</v>
      </c>
      <c r="K676">
        <v>48</v>
      </c>
      <c r="L676">
        <v>13.68</v>
      </c>
      <c r="M676" t="s">
        <v>43</v>
      </c>
      <c r="N676" t="s">
        <v>38</v>
      </c>
      <c r="O676" t="s">
        <v>27</v>
      </c>
      <c r="P676">
        <v>36108.370000000003</v>
      </c>
      <c r="Q676">
        <v>1513877.56</v>
      </c>
      <c r="R676" t="s">
        <v>28</v>
      </c>
      <c r="S676" s="1">
        <v>45780</v>
      </c>
    </row>
    <row r="677" spans="1:19" x14ac:dyDescent="0.25">
      <c r="A677" s="5" t="s">
        <v>1391</v>
      </c>
      <c r="B677" s="5" t="s">
        <v>1392</v>
      </c>
      <c r="C677" s="5" t="s">
        <v>31</v>
      </c>
      <c r="D677" s="5">
        <v>26</v>
      </c>
      <c r="E677" s="5" t="s">
        <v>22</v>
      </c>
      <c r="F677" s="5" t="s">
        <v>23</v>
      </c>
      <c r="G677" s="5" t="s">
        <v>33</v>
      </c>
      <c r="H677" s="5">
        <v>1354196</v>
      </c>
      <c r="I677">
        <v>758</v>
      </c>
      <c r="J677">
        <v>1283580</v>
      </c>
      <c r="K677">
        <v>24</v>
      </c>
      <c r="L677">
        <v>9.06</v>
      </c>
      <c r="M677" t="s">
        <v>25</v>
      </c>
      <c r="N677" t="s">
        <v>104</v>
      </c>
      <c r="O677" t="s">
        <v>27</v>
      </c>
      <c r="P677">
        <v>58328.01</v>
      </c>
      <c r="Q677">
        <v>824713.4</v>
      </c>
      <c r="R677" t="s">
        <v>28</v>
      </c>
      <c r="S677" s="1">
        <v>45537</v>
      </c>
    </row>
    <row r="678" spans="1:19" x14ac:dyDescent="0.25">
      <c r="A678" s="5" t="s">
        <v>1393</v>
      </c>
      <c r="B678" s="5" t="s">
        <v>1394</v>
      </c>
      <c r="C678" s="5" t="s">
        <v>21</v>
      </c>
      <c r="D678" s="5">
        <v>56</v>
      </c>
      <c r="E678" s="5" t="s">
        <v>32</v>
      </c>
      <c r="F678" s="5" t="s">
        <v>42</v>
      </c>
      <c r="G678" s="5" t="s">
        <v>33</v>
      </c>
      <c r="H678" s="5">
        <v>813429</v>
      </c>
      <c r="I678">
        <v>648</v>
      </c>
      <c r="J678">
        <v>408488</v>
      </c>
      <c r="K678">
        <v>36</v>
      </c>
      <c r="L678">
        <v>14.23</v>
      </c>
      <c r="M678" t="s">
        <v>54</v>
      </c>
      <c r="N678" t="s">
        <v>34</v>
      </c>
      <c r="O678" t="s">
        <v>39</v>
      </c>
      <c r="P678">
        <v>12961.55</v>
      </c>
      <c r="Q678">
        <v>403166.55</v>
      </c>
      <c r="R678" t="s">
        <v>28</v>
      </c>
      <c r="S678" s="1">
        <v>45916</v>
      </c>
    </row>
    <row r="679" spans="1:19" x14ac:dyDescent="0.25">
      <c r="A679" s="5" t="s">
        <v>1395</v>
      </c>
      <c r="B679" s="5" t="s">
        <v>1396</v>
      </c>
      <c r="C679" s="5" t="s">
        <v>21</v>
      </c>
      <c r="D679" s="5">
        <v>37</v>
      </c>
      <c r="E679" s="5" t="s">
        <v>22</v>
      </c>
      <c r="F679" s="5" t="s">
        <v>23</v>
      </c>
      <c r="G679" s="5" t="s">
        <v>33</v>
      </c>
      <c r="H679" s="5">
        <v>600607</v>
      </c>
      <c r="I679">
        <v>653</v>
      </c>
      <c r="J679">
        <v>1364382</v>
      </c>
      <c r="K679">
        <v>120</v>
      </c>
      <c r="L679">
        <v>14.72</v>
      </c>
      <c r="M679" t="s">
        <v>5</v>
      </c>
      <c r="N679" t="s">
        <v>44</v>
      </c>
      <c r="O679" t="s">
        <v>27</v>
      </c>
      <c r="P679">
        <v>13043.49</v>
      </c>
      <c r="Q679">
        <v>517320.29</v>
      </c>
      <c r="R679" t="s">
        <v>28</v>
      </c>
      <c r="S679" s="1">
        <v>45767</v>
      </c>
    </row>
    <row r="680" spans="1:19" x14ac:dyDescent="0.25">
      <c r="A680" s="5" t="s">
        <v>1397</v>
      </c>
      <c r="B680" s="5" t="s">
        <v>1398</v>
      </c>
      <c r="C680" s="5" t="s">
        <v>21</v>
      </c>
      <c r="D680" s="5">
        <v>60</v>
      </c>
      <c r="E680" s="5" t="s">
        <v>32</v>
      </c>
      <c r="F680" s="5" t="s">
        <v>42</v>
      </c>
      <c r="G680" s="5" t="s">
        <v>33</v>
      </c>
      <c r="H680" s="5">
        <v>1663086</v>
      </c>
      <c r="I680">
        <v>661</v>
      </c>
      <c r="J680">
        <v>147485</v>
      </c>
      <c r="K680">
        <v>12</v>
      </c>
      <c r="L680">
        <v>7.79</v>
      </c>
      <c r="M680" t="s">
        <v>57</v>
      </c>
      <c r="N680" t="s">
        <v>104</v>
      </c>
      <c r="O680" t="s">
        <v>27</v>
      </c>
      <c r="P680">
        <v>13247.84</v>
      </c>
      <c r="Q680">
        <v>96937.44</v>
      </c>
      <c r="R680" t="s">
        <v>28</v>
      </c>
      <c r="S680" s="1">
        <v>45550</v>
      </c>
    </row>
    <row r="681" spans="1:19" x14ac:dyDescent="0.25">
      <c r="A681" s="5" t="s">
        <v>1399</v>
      </c>
      <c r="B681" s="5" t="s">
        <v>1400</v>
      </c>
      <c r="C681" s="5" t="s">
        <v>21</v>
      </c>
      <c r="D681" s="5">
        <v>29</v>
      </c>
      <c r="E681" s="5" t="s">
        <v>32</v>
      </c>
      <c r="F681" s="5" t="s">
        <v>42</v>
      </c>
      <c r="G681" s="5" t="s">
        <v>33</v>
      </c>
      <c r="H681" s="5">
        <v>1055383</v>
      </c>
      <c r="I681">
        <v>622</v>
      </c>
      <c r="J681">
        <v>762050</v>
      </c>
      <c r="K681">
        <v>36</v>
      </c>
      <c r="L681">
        <v>8.8699999999999992</v>
      </c>
      <c r="M681" t="s">
        <v>54</v>
      </c>
      <c r="N681" t="s">
        <v>44</v>
      </c>
      <c r="O681" t="s">
        <v>39</v>
      </c>
      <c r="P681">
        <v>23045.66</v>
      </c>
      <c r="Q681">
        <v>336262.67</v>
      </c>
      <c r="R681" t="s">
        <v>28</v>
      </c>
      <c r="S681" s="1">
        <v>45975</v>
      </c>
    </row>
    <row r="682" spans="1:19" x14ac:dyDescent="0.25">
      <c r="A682" s="5" t="s">
        <v>1401</v>
      </c>
      <c r="B682" s="5" t="s">
        <v>1402</v>
      </c>
      <c r="C682" s="5" t="s">
        <v>31</v>
      </c>
      <c r="D682" s="5">
        <v>43</v>
      </c>
      <c r="E682" s="5" t="s">
        <v>32</v>
      </c>
      <c r="F682" s="5" t="s">
        <v>23</v>
      </c>
      <c r="G682" s="5" t="s">
        <v>24</v>
      </c>
      <c r="H682" s="5">
        <v>1776662</v>
      </c>
      <c r="I682">
        <v>676</v>
      </c>
      <c r="J682">
        <v>1183293</v>
      </c>
      <c r="K682">
        <v>48</v>
      </c>
      <c r="L682">
        <v>15.2</v>
      </c>
      <c r="M682" t="s">
        <v>43</v>
      </c>
      <c r="N682" t="s">
        <v>51</v>
      </c>
      <c r="O682" t="s">
        <v>27</v>
      </c>
      <c r="P682">
        <v>28399.03</v>
      </c>
      <c r="Q682">
        <v>595036.59</v>
      </c>
      <c r="R682" t="s">
        <v>28</v>
      </c>
      <c r="S682" s="1">
        <v>45669</v>
      </c>
    </row>
    <row r="683" spans="1:19" x14ac:dyDescent="0.25">
      <c r="A683" s="5" t="s">
        <v>1403</v>
      </c>
      <c r="B683" s="5" t="s">
        <v>1404</v>
      </c>
      <c r="C683" s="5" t="s">
        <v>31</v>
      </c>
      <c r="D683" s="5">
        <v>34</v>
      </c>
      <c r="E683" s="5" t="s">
        <v>22</v>
      </c>
      <c r="F683" s="5" t="s">
        <v>42</v>
      </c>
      <c r="G683" s="5" t="s">
        <v>24</v>
      </c>
      <c r="H683" s="5">
        <v>438214</v>
      </c>
      <c r="I683">
        <v>563</v>
      </c>
      <c r="J683">
        <v>1029633</v>
      </c>
      <c r="K683">
        <v>120</v>
      </c>
      <c r="L683">
        <v>11.68</v>
      </c>
      <c r="M683" t="s">
        <v>25</v>
      </c>
      <c r="N683" t="s">
        <v>34</v>
      </c>
      <c r="O683" t="s">
        <v>27</v>
      </c>
      <c r="P683">
        <v>9582.4500000000007</v>
      </c>
      <c r="Q683">
        <v>784989.12</v>
      </c>
      <c r="R683" t="s">
        <v>35</v>
      </c>
      <c r="S683" s="1">
        <v>45728</v>
      </c>
    </row>
    <row r="684" spans="1:19" x14ac:dyDescent="0.25">
      <c r="A684" s="5" t="s">
        <v>1405</v>
      </c>
      <c r="B684" s="5" t="s">
        <v>1406</v>
      </c>
      <c r="C684" s="5" t="s">
        <v>31</v>
      </c>
      <c r="D684" s="5">
        <v>48</v>
      </c>
      <c r="E684" s="5" t="s">
        <v>22</v>
      </c>
      <c r="F684" s="5" t="s">
        <v>42</v>
      </c>
      <c r="G684" s="5" t="s">
        <v>24</v>
      </c>
      <c r="H684" s="5">
        <v>641958</v>
      </c>
      <c r="I684">
        <v>695</v>
      </c>
      <c r="J684">
        <v>526868</v>
      </c>
      <c r="K684">
        <v>120</v>
      </c>
      <c r="L684">
        <v>8.7100000000000009</v>
      </c>
      <c r="M684" t="s">
        <v>25</v>
      </c>
      <c r="N684" t="s">
        <v>26</v>
      </c>
      <c r="O684" t="s">
        <v>27</v>
      </c>
      <c r="P684">
        <v>4772.99</v>
      </c>
      <c r="Q684">
        <v>108016.91</v>
      </c>
      <c r="R684" t="s">
        <v>28</v>
      </c>
      <c r="S684" s="1">
        <v>45396</v>
      </c>
    </row>
    <row r="685" spans="1:19" x14ac:dyDescent="0.25">
      <c r="A685" s="5" t="s">
        <v>1407</v>
      </c>
      <c r="B685" s="5" t="s">
        <v>1408</v>
      </c>
      <c r="C685" s="5" t="s">
        <v>31</v>
      </c>
      <c r="D685" s="5">
        <v>36</v>
      </c>
      <c r="E685" s="5" t="s">
        <v>22</v>
      </c>
      <c r="F685" s="5" t="s">
        <v>42</v>
      </c>
      <c r="G685" s="5" t="s">
        <v>33</v>
      </c>
      <c r="H685" s="5">
        <v>1206717</v>
      </c>
      <c r="I685">
        <v>743</v>
      </c>
      <c r="J685">
        <v>1790668</v>
      </c>
      <c r="K685">
        <v>180</v>
      </c>
      <c r="L685">
        <v>12.64</v>
      </c>
      <c r="M685" t="s">
        <v>57</v>
      </c>
      <c r="N685" t="s">
        <v>44</v>
      </c>
      <c r="O685" t="s">
        <v>27</v>
      </c>
      <c r="P685">
        <v>11205.6</v>
      </c>
      <c r="Q685">
        <v>228895.1</v>
      </c>
      <c r="R685" t="s">
        <v>28</v>
      </c>
      <c r="S685" s="1">
        <v>45824</v>
      </c>
    </row>
    <row r="686" spans="1:19" x14ac:dyDescent="0.25">
      <c r="A686" s="5" t="s">
        <v>1409</v>
      </c>
      <c r="B686" s="5" t="s">
        <v>1410</v>
      </c>
      <c r="C686" s="5" t="s">
        <v>21</v>
      </c>
      <c r="D686" s="5">
        <v>41</v>
      </c>
      <c r="E686" s="5" t="s">
        <v>32</v>
      </c>
      <c r="F686" s="5" t="s">
        <v>42</v>
      </c>
      <c r="G686" s="5" t="s">
        <v>33</v>
      </c>
      <c r="H686" s="5">
        <v>1961096</v>
      </c>
      <c r="I686">
        <v>557</v>
      </c>
      <c r="J686">
        <v>1801598</v>
      </c>
      <c r="K686">
        <v>48</v>
      </c>
      <c r="L686">
        <v>8.9499999999999993</v>
      </c>
      <c r="M686" t="s">
        <v>25</v>
      </c>
      <c r="N686" t="s">
        <v>104</v>
      </c>
      <c r="O686" t="s">
        <v>27</v>
      </c>
      <c r="P686">
        <v>40892.519999999997</v>
      </c>
      <c r="Q686">
        <v>1148789.94</v>
      </c>
      <c r="R686" t="s">
        <v>28</v>
      </c>
      <c r="S686" s="1">
        <v>45760</v>
      </c>
    </row>
    <row r="687" spans="1:19" x14ac:dyDescent="0.25">
      <c r="A687" s="5" t="s">
        <v>1411</v>
      </c>
      <c r="B687" s="5" t="s">
        <v>1412</v>
      </c>
      <c r="C687" s="5" t="s">
        <v>21</v>
      </c>
      <c r="D687" s="5">
        <v>27</v>
      </c>
      <c r="E687" s="5" t="s">
        <v>22</v>
      </c>
      <c r="F687" s="5" t="s">
        <v>42</v>
      </c>
      <c r="G687" s="5" t="s">
        <v>33</v>
      </c>
      <c r="H687" s="5">
        <v>752461</v>
      </c>
      <c r="I687">
        <v>606</v>
      </c>
      <c r="J687">
        <v>1509185</v>
      </c>
      <c r="K687">
        <v>36</v>
      </c>
      <c r="L687">
        <v>14.82</v>
      </c>
      <c r="M687" t="s">
        <v>57</v>
      </c>
      <c r="N687" t="s">
        <v>104</v>
      </c>
      <c r="O687" t="s">
        <v>27</v>
      </c>
      <c r="P687">
        <v>48134.62</v>
      </c>
      <c r="Q687">
        <v>575873</v>
      </c>
      <c r="R687" t="s">
        <v>28</v>
      </c>
      <c r="S687" s="1">
        <v>45940</v>
      </c>
    </row>
    <row r="688" spans="1:19" x14ac:dyDescent="0.25">
      <c r="A688" s="5" t="s">
        <v>1413</v>
      </c>
      <c r="B688" s="5" t="s">
        <v>1414</v>
      </c>
      <c r="C688" s="5" t="s">
        <v>31</v>
      </c>
      <c r="D688" s="5">
        <v>49</v>
      </c>
      <c r="E688" s="5" t="s">
        <v>32</v>
      </c>
      <c r="F688" s="5" t="s">
        <v>23</v>
      </c>
      <c r="G688" s="5" t="s">
        <v>33</v>
      </c>
      <c r="H688" s="5">
        <v>292476</v>
      </c>
      <c r="I688">
        <v>591</v>
      </c>
      <c r="J688">
        <v>179912</v>
      </c>
      <c r="K688">
        <v>36</v>
      </c>
      <c r="L688">
        <v>10.92</v>
      </c>
      <c r="M688" t="s">
        <v>54</v>
      </c>
      <c r="N688" t="s">
        <v>38</v>
      </c>
      <c r="O688" t="s">
        <v>39</v>
      </c>
      <c r="P688">
        <v>5543.29</v>
      </c>
      <c r="Q688">
        <v>80776.490000000005</v>
      </c>
      <c r="R688" t="s">
        <v>28</v>
      </c>
      <c r="S688" s="1">
        <v>45702</v>
      </c>
    </row>
    <row r="689" spans="1:19" x14ac:dyDescent="0.25">
      <c r="A689" s="5" t="s">
        <v>1415</v>
      </c>
      <c r="B689" s="5" t="s">
        <v>1416</v>
      </c>
      <c r="C689" s="5" t="s">
        <v>31</v>
      </c>
      <c r="D689" s="5">
        <v>23</v>
      </c>
      <c r="E689" s="5" t="s">
        <v>32</v>
      </c>
      <c r="F689" s="5" t="s">
        <v>42</v>
      </c>
      <c r="G689" s="5" t="s">
        <v>33</v>
      </c>
      <c r="H689" s="5">
        <v>472830</v>
      </c>
      <c r="I689">
        <v>677</v>
      </c>
      <c r="J689">
        <v>341994</v>
      </c>
      <c r="K689">
        <v>60</v>
      </c>
      <c r="L689">
        <v>14.42</v>
      </c>
      <c r="M689" t="s">
        <v>54</v>
      </c>
      <c r="N689" t="s">
        <v>34</v>
      </c>
      <c r="O689" t="s">
        <v>27</v>
      </c>
      <c r="P689">
        <v>6521.83</v>
      </c>
      <c r="Q689">
        <v>201728.85</v>
      </c>
      <c r="R689" t="s">
        <v>28</v>
      </c>
      <c r="S689" s="1">
        <v>45389</v>
      </c>
    </row>
    <row r="690" spans="1:19" x14ac:dyDescent="0.25">
      <c r="A690" s="5" t="s">
        <v>1417</v>
      </c>
      <c r="B690" s="5" t="s">
        <v>1418</v>
      </c>
      <c r="C690" s="5" t="s">
        <v>31</v>
      </c>
      <c r="D690" s="5">
        <v>37</v>
      </c>
      <c r="E690" s="5" t="s">
        <v>32</v>
      </c>
      <c r="F690" s="5" t="s">
        <v>42</v>
      </c>
      <c r="G690" s="5" t="s">
        <v>33</v>
      </c>
      <c r="H690" s="5">
        <v>372175</v>
      </c>
      <c r="I690">
        <v>847</v>
      </c>
      <c r="J690">
        <v>1582264</v>
      </c>
      <c r="K690">
        <v>60</v>
      </c>
      <c r="L690">
        <v>11.41</v>
      </c>
      <c r="M690" t="s">
        <v>57</v>
      </c>
      <c r="N690" t="s">
        <v>34</v>
      </c>
      <c r="O690" t="s">
        <v>27</v>
      </c>
      <c r="P690">
        <v>29380.01</v>
      </c>
      <c r="Q690">
        <v>1019669.98</v>
      </c>
      <c r="R690" t="s">
        <v>28</v>
      </c>
      <c r="S690" s="1">
        <v>45566</v>
      </c>
    </row>
    <row r="691" spans="1:19" x14ac:dyDescent="0.25">
      <c r="A691" s="5" t="s">
        <v>1419</v>
      </c>
      <c r="B691" s="5" t="s">
        <v>1420</v>
      </c>
      <c r="C691" s="5" t="s">
        <v>31</v>
      </c>
      <c r="D691" s="5">
        <v>45</v>
      </c>
      <c r="E691" s="5" t="s">
        <v>32</v>
      </c>
      <c r="F691" s="5" t="s">
        <v>23</v>
      </c>
      <c r="G691" s="5" t="s">
        <v>24</v>
      </c>
      <c r="H691" s="5">
        <v>1015836</v>
      </c>
      <c r="I691">
        <v>587</v>
      </c>
      <c r="J691">
        <v>683830</v>
      </c>
      <c r="K691">
        <v>180</v>
      </c>
      <c r="L691">
        <v>9.52</v>
      </c>
      <c r="M691" t="s">
        <v>54</v>
      </c>
      <c r="N691" t="s">
        <v>26</v>
      </c>
      <c r="O691" t="s">
        <v>27</v>
      </c>
      <c r="P691">
        <v>4160.7299999999996</v>
      </c>
      <c r="Q691">
        <v>221750.31</v>
      </c>
      <c r="R691" t="s">
        <v>28</v>
      </c>
      <c r="S691" s="1">
        <v>45403</v>
      </c>
    </row>
    <row r="692" spans="1:19" x14ac:dyDescent="0.25">
      <c r="A692" s="5" t="s">
        <v>1421</v>
      </c>
      <c r="B692" s="5" t="s">
        <v>1422</v>
      </c>
      <c r="C692" s="5" t="s">
        <v>31</v>
      </c>
      <c r="D692" s="5">
        <v>43</v>
      </c>
      <c r="E692" s="5" t="s">
        <v>32</v>
      </c>
      <c r="F692" s="5" t="s">
        <v>23</v>
      </c>
      <c r="G692" s="5" t="s">
        <v>24</v>
      </c>
      <c r="H692" s="5">
        <v>762461</v>
      </c>
      <c r="I692">
        <v>798</v>
      </c>
      <c r="J692">
        <v>1699666</v>
      </c>
      <c r="K692">
        <v>60</v>
      </c>
      <c r="L692">
        <v>9.24</v>
      </c>
      <c r="M692" t="s">
        <v>5</v>
      </c>
      <c r="N692" t="s">
        <v>26</v>
      </c>
      <c r="O692" t="s">
        <v>27</v>
      </c>
      <c r="P692">
        <v>30945.25</v>
      </c>
      <c r="Q692">
        <v>570386.15</v>
      </c>
      <c r="R692" t="s">
        <v>28</v>
      </c>
      <c r="S692" s="1">
        <v>45820</v>
      </c>
    </row>
    <row r="693" spans="1:19" x14ac:dyDescent="0.25">
      <c r="A693" s="5" t="s">
        <v>1423</v>
      </c>
      <c r="B693" s="5" t="s">
        <v>1424</v>
      </c>
      <c r="C693" s="5" t="s">
        <v>31</v>
      </c>
      <c r="D693" s="5">
        <v>36</v>
      </c>
      <c r="E693" s="5" t="s">
        <v>32</v>
      </c>
      <c r="F693" s="5" t="s">
        <v>23</v>
      </c>
      <c r="G693" s="5" t="s">
        <v>33</v>
      </c>
      <c r="H693" s="5">
        <v>1137411</v>
      </c>
      <c r="I693">
        <v>647</v>
      </c>
      <c r="J693">
        <v>754013</v>
      </c>
      <c r="K693">
        <v>12</v>
      </c>
      <c r="L693">
        <v>12.94</v>
      </c>
      <c r="M693" t="s">
        <v>43</v>
      </c>
      <c r="N693" t="s">
        <v>104</v>
      </c>
      <c r="O693" t="s">
        <v>39</v>
      </c>
      <c r="P693">
        <v>70965.19</v>
      </c>
      <c r="Q693">
        <v>431910.42</v>
      </c>
      <c r="R693" t="s">
        <v>28</v>
      </c>
      <c r="S693" s="1">
        <v>45292</v>
      </c>
    </row>
    <row r="694" spans="1:19" x14ac:dyDescent="0.25">
      <c r="A694" s="5" t="s">
        <v>1425</v>
      </c>
      <c r="B694" s="5" t="s">
        <v>1426</v>
      </c>
      <c r="C694" s="5" t="s">
        <v>21</v>
      </c>
      <c r="D694" s="5">
        <v>48</v>
      </c>
      <c r="E694" s="5" t="s">
        <v>32</v>
      </c>
      <c r="F694" s="5" t="s">
        <v>42</v>
      </c>
      <c r="G694" s="5" t="s">
        <v>24</v>
      </c>
      <c r="H694" s="5">
        <v>1344701</v>
      </c>
      <c r="I694">
        <v>575</v>
      </c>
      <c r="J694">
        <v>1690297</v>
      </c>
      <c r="K694">
        <v>120</v>
      </c>
      <c r="L694">
        <v>13.32</v>
      </c>
      <c r="M694" t="s">
        <v>57</v>
      </c>
      <c r="N694" t="s">
        <v>51</v>
      </c>
      <c r="O694" t="s">
        <v>39</v>
      </c>
      <c r="P694">
        <v>15962.04</v>
      </c>
      <c r="Q694">
        <v>1482831.5</v>
      </c>
      <c r="R694" t="s">
        <v>28</v>
      </c>
      <c r="S694" s="1">
        <v>45507</v>
      </c>
    </row>
    <row r="695" spans="1:19" x14ac:dyDescent="0.25">
      <c r="A695" s="5" t="s">
        <v>1427</v>
      </c>
      <c r="B695" s="5" t="s">
        <v>1428</v>
      </c>
      <c r="C695" s="5" t="s">
        <v>31</v>
      </c>
      <c r="D695" s="5">
        <v>60</v>
      </c>
      <c r="E695" s="5" t="s">
        <v>22</v>
      </c>
      <c r="F695" s="5" t="s">
        <v>42</v>
      </c>
      <c r="G695" s="5" t="s">
        <v>33</v>
      </c>
      <c r="H695" s="5">
        <v>1069787</v>
      </c>
      <c r="I695">
        <v>608</v>
      </c>
      <c r="J695">
        <v>977847</v>
      </c>
      <c r="K695">
        <v>84</v>
      </c>
      <c r="L695">
        <v>11.26</v>
      </c>
      <c r="M695" t="s">
        <v>43</v>
      </c>
      <c r="N695" t="s">
        <v>51</v>
      </c>
      <c r="O695" t="s">
        <v>27</v>
      </c>
      <c r="P695">
        <v>12951.82</v>
      </c>
      <c r="Q695">
        <v>468762.5</v>
      </c>
      <c r="R695" t="s">
        <v>28</v>
      </c>
      <c r="S695" s="1">
        <v>45659</v>
      </c>
    </row>
    <row r="696" spans="1:19" x14ac:dyDescent="0.25">
      <c r="A696" s="5" t="s">
        <v>1429</v>
      </c>
      <c r="B696" s="5" t="s">
        <v>1430</v>
      </c>
      <c r="C696" s="5" t="s">
        <v>21</v>
      </c>
      <c r="D696" s="5">
        <v>25</v>
      </c>
      <c r="E696" s="5" t="s">
        <v>22</v>
      </c>
      <c r="F696" s="5" t="s">
        <v>42</v>
      </c>
      <c r="G696" s="5" t="s">
        <v>33</v>
      </c>
      <c r="H696" s="5">
        <v>1815298</v>
      </c>
      <c r="I696">
        <v>698</v>
      </c>
      <c r="J696">
        <v>593961</v>
      </c>
      <c r="K696">
        <v>120</v>
      </c>
      <c r="L696">
        <v>14.1</v>
      </c>
      <c r="M696" t="s">
        <v>57</v>
      </c>
      <c r="N696" t="s">
        <v>51</v>
      </c>
      <c r="O696" t="s">
        <v>27</v>
      </c>
      <c r="P696">
        <v>5647.58</v>
      </c>
      <c r="Q696">
        <v>330343.19</v>
      </c>
      <c r="R696" t="s">
        <v>28</v>
      </c>
      <c r="S696" s="1">
        <v>45848</v>
      </c>
    </row>
    <row r="697" spans="1:19" x14ac:dyDescent="0.25">
      <c r="A697" s="5" t="s">
        <v>1431</v>
      </c>
      <c r="B697" s="5" t="s">
        <v>1432</v>
      </c>
      <c r="C697" s="5" t="s">
        <v>21</v>
      </c>
      <c r="D697" s="5">
        <v>34</v>
      </c>
      <c r="E697" s="5" t="s">
        <v>32</v>
      </c>
      <c r="F697" s="5" t="s">
        <v>23</v>
      </c>
      <c r="G697" s="5" t="s">
        <v>24</v>
      </c>
      <c r="H697" s="5">
        <v>1124654</v>
      </c>
      <c r="I697">
        <v>716</v>
      </c>
      <c r="J697">
        <v>805577</v>
      </c>
      <c r="K697">
        <v>36</v>
      </c>
      <c r="L697">
        <v>9.9</v>
      </c>
      <c r="M697" t="s">
        <v>43</v>
      </c>
      <c r="N697" t="s">
        <v>104</v>
      </c>
      <c r="O697" t="s">
        <v>27</v>
      </c>
      <c r="P697">
        <v>24592.48</v>
      </c>
      <c r="Q697">
        <v>121755.23</v>
      </c>
      <c r="R697" t="s">
        <v>28</v>
      </c>
      <c r="S697" s="1">
        <v>45308</v>
      </c>
    </row>
    <row r="698" spans="1:19" x14ac:dyDescent="0.25">
      <c r="A698" s="5" t="s">
        <v>1433</v>
      </c>
      <c r="B698" s="5" t="s">
        <v>1434</v>
      </c>
      <c r="C698" s="5" t="s">
        <v>21</v>
      </c>
      <c r="D698" s="5">
        <v>31</v>
      </c>
      <c r="E698" s="5" t="s">
        <v>32</v>
      </c>
      <c r="F698" s="5" t="s">
        <v>23</v>
      </c>
      <c r="G698" s="5" t="s">
        <v>33</v>
      </c>
      <c r="H698" s="5">
        <v>1416114</v>
      </c>
      <c r="I698">
        <v>791</v>
      </c>
      <c r="J698">
        <v>1842645</v>
      </c>
      <c r="K698">
        <v>48</v>
      </c>
      <c r="L698">
        <v>10.07</v>
      </c>
      <c r="M698" t="s">
        <v>5</v>
      </c>
      <c r="N698" t="s">
        <v>44</v>
      </c>
      <c r="O698" t="s">
        <v>27</v>
      </c>
      <c r="P698">
        <v>42254.15</v>
      </c>
      <c r="Q698">
        <v>1446635.24</v>
      </c>
      <c r="R698" t="s">
        <v>28</v>
      </c>
      <c r="S698" s="1">
        <v>45837</v>
      </c>
    </row>
    <row r="699" spans="1:19" x14ac:dyDescent="0.25">
      <c r="A699" s="5" t="s">
        <v>1435</v>
      </c>
      <c r="B699" s="5" t="s">
        <v>1436</v>
      </c>
      <c r="C699" s="5" t="s">
        <v>31</v>
      </c>
      <c r="D699" s="5">
        <v>56</v>
      </c>
      <c r="E699" s="5" t="s">
        <v>22</v>
      </c>
      <c r="F699" s="5" t="s">
        <v>42</v>
      </c>
      <c r="G699" s="5" t="s">
        <v>24</v>
      </c>
      <c r="H699" s="5">
        <v>1007219</v>
      </c>
      <c r="I699">
        <v>657</v>
      </c>
      <c r="J699">
        <v>533798</v>
      </c>
      <c r="K699">
        <v>120</v>
      </c>
      <c r="L699">
        <v>14.19</v>
      </c>
      <c r="M699" t="s">
        <v>43</v>
      </c>
      <c r="N699" t="s">
        <v>104</v>
      </c>
      <c r="O699" t="s">
        <v>27</v>
      </c>
      <c r="P699">
        <v>5079.53</v>
      </c>
      <c r="Q699">
        <v>502259.02</v>
      </c>
      <c r="R699" t="s">
        <v>28</v>
      </c>
      <c r="S699" s="1">
        <v>45386</v>
      </c>
    </row>
    <row r="700" spans="1:19" x14ac:dyDescent="0.25">
      <c r="A700" s="5" t="s">
        <v>1437</v>
      </c>
      <c r="B700" s="5" t="s">
        <v>1438</v>
      </c>
      <c r="C700" s="5" t="s">
        <v>21</v>
      </c>
      <c r="D700" s="5">
        <v>46</v>
      </c>
      <c r="E700" s="5" t="s">
        <v>22</v>
      </c>
      <c r="F700" s="5" t="s">
        <v>42</v>
      </c>
      <c r="G700" s="5" t="s">
        <v>24</v>
      </c>
      <c r="H700" s="5">
        <v>962061</v>
      </c>
      <c r="I700">
        <v>724</v>
      </c>
      <c r="J700">
        <v>1435819</v>
      </c>
      <c r="K700">
        <v>36</v>
      </c>
      <c r="L700">
        <v>10.51</v>
      </c>
      <c r="M700" t="s">
        <v>43</v>
      </c>
      <c r="N700" t="s">
        <v>34</v>
      </c>
      <c r="O700" t="s">
        <v>27</v>
      </c>
      <c r="P700">
        <v>44075.65</v>
      </c>
      <c r="Q700">
        <v>645059.51</v>
      </c>
      <c r="R700" t="s">
        <v>28</v>
      </c>
      <c r="S700" s="1">
        <v>45417</v>
      </c>
    </row>
    <row r="701" spans="1:19" x14ac:dyDescent="0.25">
      <c r="A701" s="5" t="s">
        <v>1439</v>
      </c>
      <c r="B701" s="5" t="s">
        <v>1440</v>
      </c>
      <c r="C701" s="5" t="s">
        <v>31</v>
      </c>
      <c r="D701" s="5">
        <v>39</v>
      </c>
      <c r="E701" s="5" t="s">
        <v>22</v>
      </c>
      <c r="F701" s="5" t="s">
        <v>23</v>
      </c>
      <c r="G701" s="5" t="s">
        <v>24</v>
      </c>
      <c r="H701" s="5">
        <v>1495863</v>
      </c>
      <c r="I701">
        <v>682</v>
      </c>
      <c r="J701">
        <v>1040368</v>
      </c>
      <c r="K701">
        <v>84</v>
      </c>
      <c r="L701">
        <v>13.83</v>
      </c>
      <c r="M701" t="s">
        <v>25</v>
      </c>
      <c r="N701" t="s">
        <v>26</v>
      </c>
      <c r="O701" t="s">
        <v>27</v>
      </c>
      <c r="P701">
        <v>14098.22</v>
      </c>
      <c r="Q701">
        <v>460493.64</v>
      </c>
      <c r="R701" t="s">
        <v>28</v>
      </c>
      <c r="S701" s="1">
        <v>45497</v>
      </c>
    </row>
    <row r="702" spans="1:19" x14ac:dyDescent="0.25">
      <c r="A702" s="5" t="s">
        <v>1441</v>
      </c>
      <c r="B702" s="5" t="s">
        <v>1442</v>
      </c>
      <c r="C702" s="5" t="s">
        <v>31</v>
      </c>
      <c r="D702" s="5">
        <v>25</v>
      </c>
      <c r="E702" s="5" t="s">
        <v>32</v>
      </c>
      <c r="F702" s="5" t="s">
        <v>42</v>
      </c>
      <c r="G702" s="5" t="s">
        <v>33</v>
      </c>
      <c r="H702" s="5">
        <v>1691790</v>
      </c>
      <c r="I702">
        <v>734</v>
      </c>
      <c r="J702">
        <v>1335630</v>
      </c>
      <c r="K702">
        <v>60</v>
      </c>
      <c r="L702">
        <v>13.02</v>
      </c>
      <c r="M702" t="s">
        <v>57</v>
      </c>
      <c r="N702" t="s">
        <v>44</v>
      </c>
      <c r="O702" t="s">
        <v>27</v>
      </c>
      <c r="P702">
        <v>25158.82</v>
      </c>
      <c r="Q702">
        <v>521331.74</v>
      </c>
      <c r="R702" t="s">
        <v>28</v>
      </c>
      <c r="S702" s="1">
        <v>45443</v>
      </c>
    </row>
    <row r="703" spans="1:19" x14ac:dyDescent="0.25">
      <c r="A703" s="5" t="s">
        <v>1443</v>
      </c>
      <c r="B703" s="5" t="s">
        <v>1444</v>
      </c>
      <c r="C703" s="5" t="s">
        <v>31</v>
      </c>
      <c r="D703" s="5">
        <v>58</v>
      </c>
      <c r="E703" s="5" t="s">
        <v>22</v>
      </c>
      <c r="F703" s="5" t="s">
        <v>23</v>
      </c>
      <c r="G703" s="5" t="s">
        <v>33</v>
      </c>
      <c r="H703" s="5">
        <v>1683842</v>
      </c>
      <c r="I703">
        <v>823</v>
      </c>
      <c r="J703">
        <v>305531</v>
      </c>
      <c r="K703">
        <v>12</v>
      </c>
      <c r="L703">
        <v>12.38</v>
      </c>
      <c r="M703" t="s">
        <v>43</v>
      </c>
      <c r="N703" t="s">
        <v>51</v>
      </c>
      <c r="O703" t="s">
        <v>27</v>
      </c>
      <c r="P703">
        <v>28612.98</v>
      </c>
      <c r="Q703">
        <v>145204.12</v>
      </c>
      <c r="R703" t="s">
        <v>28</v>
      </c>
      <c r="S703" s="1">
        <v>45458</v>
      </c>
    </row>
    <row r="704" spans="1:19" x14ac:dyDescent="0.25">
      <c r="A704" s="5" t="s">
        <v>1445</v>
      </c>
      <c r="B704" s="5" t="s">
        <v>1446</v>
      </c>
      <c r="C704" s="5" t="s">
        <v>31</v>
      </c>
      <c r="D704" s="5">
        <v>38</v>
      </c>
      <c r="E704" s="5" t="s">
        <v>22</v>
      </c>
      <c r="F704" s="5" t="s">
        <v>23</v>
      </c>
      <c r="G704" s="5" t="s">
        <v>24</v>
      </c>
      <c r="H704" s="5">
        <v>1045815</v>
      </c>
      <c r="I704">
        <v>592</v>
      </c>
      <c r="J704">
        <v>1466660</v>
      </c>
      <c r="K704">
        <v>60</v>
      </c>
      <c r="L704">
        <v>8.98</v>
      </c>
      <c r="M704" t="s">
        <v>5</v>
      </c>
      <c r="N704" t="s">
        <v>51</v>
      </c>
      <c r="O704" t="s">
        <v>27</v>
      </c>
      <c r="P704">
        <v>26639.43</v>
      </c>
      <c r="Q704">
        <v>1358134.35</v>
      </c>
      <c r="R704" t="s">
        <v>28</v>
      </c>
      <c r="S704" s="1">
        <v>45747</v>
      </c>
    </row>
    <row r="705" spans="1:19" x14ac:dyDescent="0.25">
      <c r="A705" s="5" t="s">
        <v>1447</v>
      </c>
      <c r="B705" s="5" t="s">
        <v>1448</v>
      </c>
      <c r="C705" s="5" t="s">
        <v>31</v>
      </c>
      <c r="D705" s="5">
        <v>40</v>
      </c>
      <c r="E705" s="5" t="s">
        <v>22</v>
      </c>
      <c r="F705" s="5" t="s">
        <v>23</v>
      </c>
      <c r="G705" s="5" t="s">
        <v>24</v>
      </c>
      <c r="H705" s="5">
        <v>1500618</v>
      </c>
      <c r="I705">
        <v>699</v>
      </c>
      <c r="J705">
        <v>1886854</v>
      </c>
      <c r="K705">
        <v>12</v>
      </c>
      <c r="L705">
        <v>11.55</v>
      </c>
      <c r="M705" t="s">
        <v>43</v>
      </c>
      <c r="N705" t="s">
        <v>51</v>
      </c>
      <c r="O705" t="s">
        <v>27</v>
      </c>
      <c r="P705">
        <v>175398.8</v>
      </c>
      <c r="Q705">
        <v>1199928.8700000001</v>
      </c>
      <c r="R705" t="s">
        <v>28</v>
      </c>
      <c r="S705" s="1">
        <v>45306</v>
      </c>
    </row>
    <row r="706" spans="1:19" x14ac:dyDescent="0.25">
      <c r="A706" s="5" t="s">
        <v>1449</v>
      </c>
      <c r="B706" s="5" t="s">
        <v>1450</v>
      </c>
      <c r="C706" s="5" t="s">
        <v>21</v>
      </c>
      <c r="D706" s="5">
        <v>49</v>
      </c>
      <c r="E706" s="5" t="s">
        <v>22</v>
      </c>
      <c r="F706" s="5" t="s">
        <v>23</v>
      </c>
      <c r="G706" s="5" t="s">
        <v>33</v>
      </c>
      <c r="H706" s="5">
        <v>450596</v>
      </c>
      <c r="I706">
        <v>615</v>
      </c>
      <c r="J706">
        <v>1778552</v>
      </c>
      <c r="K706">
        <v>180</v>
      </c>
      <c r="L706">
        <v>8.39</v>
      </c>
      <c r="M706" t="s">
        <v>25</v>
      </c>
      <c r="N706" t="s">
        <v>44</v>
      </c>
      <c r="O706" t="s">
        <v>27</v>
      </c>
      <c r="P706">
        <v>10709.85</v>
      </c>
      <c r="Q706">
        <v>451561.66</v>
      </c>
      <c r="R706" t="s">
        <v>35</v>
      </c>
      <c r="S706" s="1">
        <v>45923</v>
      </c>
    </row>
    <row r="707" spans="1:19" x14ac:dyDescent="0.25">
      <c r="A707" s="5" t="s">
        <v>1451</v>
      </c>
      <c r="B707" s="5" t="s">
        <v>1452</v>
      </c>
      <c r="C707" s="5" t="s">
        <v>31</v>
      </c>
      <c r="D707" s="5">
        <v>35</v>
      </c>
      <c r="E707" s="5" t="s">
        <v>32</v>
      </c>
      <c r="F707" s="5" t="s">
        <v>42</v>
      </c>
      <c r="G707" s="5" t="s">
        <v>33</v>
      </c>
      <c r="H707" s="5">
        <v>1298477</v>
      </c>
      <c r="I707">
        <v>824</v>
      </c>
      <c r="J707">
        <v>749550</v>
      </c>
      <c r="K707">
        <v>36</v>
      </c>
      <c r="L707">
        <v>9.8699999999999992</v>
      </c>
      <c r="M707" t="s">
        <v>25</v>
      </c>
      <c r="N707" t="s">
        <v>34</v>
      </c>
      <c r="O707" t="s">
        <v>27</v>
      </c>
      <c r="P707">
        <v>22875.85</v>
      </c>
      <c r="Q707">
        <v>396567.91</v>
      </c>
      <c r="R707" t="s">
        <v>28</v>
      </c>
      <c r="S707" s="1">
        <v>45555</v>
      </c>
    </row>
    <row r="708" spans="1:19" x14ac:dyDescent="0.25">
      <c r="A708" s="5" t="s">
        <v>1453</v>
      </c>
      <c r="B708" s="5" t="s">
        <v>1454</v>
      </c>
      <c r="C708" s="5" t="s">
        <v>31</v>
      </c>
      <c r="D708" s="5">
        <v>56</v>
      </c>
      <c r="E708" s="5" t="s">
        <v>32</v>
      </c>
      <c r="F708" s="5" t="s">
        <v>23</v>
      </c>
      <c r="G708" s="5" t="s">
        <v>33</v>
      </c>
      <c r="H708" s="5">
        <v>529348</v>
      </c>
      <c r="I708">
        <v>756</v>
      </c>
      <c r="J708">
        <v>1593462</v>
      </c>
      <c r="K708">
        <v>36</v>
      </c>
      <c r="L708">
        <v>9.98</v>
      </c>
      <c r="M708" t="s">
        <v>54</v>
      </c>
      <c r="N708" t="s">
        <v>44</v>
      </c>
      <c r="O708" t="s">
        <v>27</v>
      </c>
      <c r="P708">
        <v>48680.26</v>
      </c>
      <c r="Q708">
        <v>697582.19</v>
      </c>
      <c r="R708" t="s">
        <v>28</v>
      </c>
      <c r="S708" s="1">
        <v>45381</v>
      </c>
    </row>
    <row r="709" spans="1:19" x14ac:dyDescent="0.25">
      <c r="A709" s="5" t="s">
        <v>1455</v>
      </c>
      <c r="B709" s="5" t="s">
        <v>1456</v>
      </c>
      <c r="C709" s="5" t="s">
        <v>21</v>
      </c>
      <c r="D709" s="5">
        <v>39</v>
      </c>
      <c r="E709" s="5" t="s">
        <v>22</v>
      </c>
      <c r="F709" s="5" t="s">
        <v>42</v>
      </c>
      <c r="G709" s="5" t="s">
        <v>24</v>
      </c>
      <c r="H709" s="5">
        <v>803359</v>
      </c>
      <c r="I709">
        <v>799</v>
      </c>
      <c r="J709">
        <v>475427</v>
      </c>
      <c r="K709">
        <v>180</v>
      </c>
      <c r="L709">
        <v>12.82</v>
      </c>
      <c r="M709" t="s">
        <v>5</v>
      </c>
      <c r="N709" t="s">
        <v>44</v>
      </c>
      <c r="O709" t="s">
        <v>27</v>
      </c>
      <c r="P709">
        <v>2979.87</v>
      </c>
      <c r="Q709">
        <v>112270.88</v>
      </c>
      <c r="R709" t="s">
        <v>28</v>
      </c>
      <c r="S709" s="1">
        <v>45621</v>
      </c>
    </row>
    <row r="710" spans="1:19" x14ac:dyDescent="0.25">
      <c r="A710" s="5" t="s">
        <v>1457</v>
      </c>
      <c r="B710" s="5" t="s">
        <v>1458</v>
      </c>
      <c r="C710" s="5" t="s">
        <v>21</v>
      </c>
      <c r="D710" s="5">
        <v>50</v>
      </c>
      <c r="E710" s="5" t="s">
        <v>32</v>
      </c>
      <c r="F710" s="5" t="s">
        <v>42</v>
      </c>
      <c r="G710" s="5" t="s">
        <v>33</v>
      </c>
      <c r="H710" s="5">
        <v>1769171</v>
      </c>
      <c r="I710">
        <v>667</v>
      </c>
      <c r="J710">
        <v>228963</v>
      </c>
      <c r="K710">
        <v>12</v>
      </c>
      <c r="L710">
        <v>9.1199999999999992</v>
      </c>
      <c r="M710" t="s">
        <v>25</v>
      </c>
      <c r="N710" t="s">
        <v>26</v>
      </c>
      <c r="O710" t="s">
        <v>27</v>
      </c>
      <c r="P710">
        <v>20820.37</v>
      </c>
      <c r="Q710">
        <v>122648.64</v>
      </c>
      <c r="R710" t="s">
        <v>28</v>
      </c>
      <c r="S710" s="1">
        <v>45606</v>
      </c>
    </row>
    <row r="711" spans="1:19" x14ac:dyDescent="0.25">
      <c r="A711" s="5" t="s">
        <v>1459</v>
      </c>
      <c r="B711" s="5" t="s">
        <v>1460</v>
      </c>
      <c r="C711" s="5" t="s">
        <v>31</v>
      </c>
      <c r="D711" s="5">
        <v>60</v>
      </c>
      <c r="E711" s="5" t="s">
        <v>32</v>
      </c>
      <c r="F711" s="5" t="s">
        <v>42</v>
      </c>
      <c r="G711" s="5" t="s">
        <v>24</v>
      </c>
      <c r="H711" s="5">
        <v>465226</v>
      </c>
      <c r="I711">
        <v>678</v>
      </c>
      <c r="J711">
        <v>962426</v>
      </c>
      <c r="K711">
        <v>24</v>
      </c>
      <c r="L711">
        <v>14.43</v>
      </c>
      <c r="M711" t="s">
        <v>5</v>
      </c>
      <c r="N711" t="s">
        <v>26</v>
      </c>
      <c r="O711" t="s">
        <v>27</v>
      </c>
      <c r="P711">
        <v>45887.67</v>
      </c>
      <c r="Q711">
        <v>288877.48</v>
      </c>
      <c r="R711" t="s">
        <v>28</v>
      </c>
      <c r="S711" s="1">
        <v>45701</v>
      </c>
    </row>
    <row r="712" spans="1:19" x14ac:dyDescent="0.25">
      <c r="A712" s="5" t="s">
        <v>1461</v>
      </c>
      <c r="B712" s="5" t="s">
        <v>1462</v>
      </c>
      <c r="C712" s="5" t="s">
        <v>21</v>
      </c>
      <c r="D712" s="5">
        <v>45</v>
      </c>
      <c r="E712" s="5" t="s">
        <v>22</v>
      </c>
      <c r="F712" s="5" t="s">
        <v>42</v>
      </c>
      <c r="G712" s="5" t="s">
        <v>24</v>
      </c>
      <c r="H712" s="5">
        <v>1802868</v>
      </c>
      <c r="I712">
        <v>728</v>
      </c>
      <c r="J712">
        <v>1089993</v>
      </c>
      <c r="K712">
        <v>240</v>
      </c>
      <c r="L712">
        <v>13.23</v>
      </c>
      <c r="M712" t="s">
        <v>25</v>
      </c>
      <c r="N712" t="s">
        <v>51</v>
      </c>
      <c r="O712" t="s">
        <v>27</v>
      </c>
      <c r="P712">
        <v>5142.5</v>
      </c>
      <c r="Q712">
        <v>1032584.2</v>
      </c>
      <c r="R712" t="s">
        <v>28</v>
      </c>
      <c r="S712" s="1">
        <v>46005</v>
      </c>
    </row>
    <row r="713" spans="1:19" x14ac:dyDescent="0.25">
      <c r="A713" s="5" t="s">
        <v>1463</v>
      </c>
      <c r="B713" s="5" t="s">
        <v>1464</v>
      </c>
      <c r="C713" s="5" t="s">
        <v>31</v>
      </c>
      <c r="D713" s="5">
        <v>60</v>
      </c>
      <c r="E713" s="5" t="s">
        <v>22</v>
      </c>
      <c r="F713" s="5" t="s">
        <v>23</v>
      </c>
      <c r="G713" s="5" t="s">
        <v>24</v>
      </c>
      <c r="H713" s="5">
        <v>1632875</v>
      </c>
      <c r="I713">
        <v>711</v>
      </c>
      <c r="J713">
        <v>1393873</v>
      </c>
      <c r="K713">
        <v>24</v>
      </c>
      <c r="L713">
        <v>11.31</v>
      </c>
      <c r="M713" t="s">
        <v>25</v>
      </c>
      <c r="N713" t="s">
        <v>38</v>
      </c>
      <c r="O713" t="s">
        <v>27</v>
      </c>
      <c r="P713">
        <v>64646.67</v>
      </c>
      <c r="Q713">
        <v>746875.85</v>
      </c>
      <c r="R713" t="s">
        <v>28</v>
      </c>
      <c r="S713" s="1">
        <v>45951</v>
      </c>
    </row>
    <row r="714" spans="1:19" x14ac:dyDescent="0.25">
      <c r="A714" s="5" t="s">
        <v>1465</v>
      </c>
      <c r="B714" s="5" t="s">
        <v>1466</v>
      </c>
      <c r="C714" s="5" t="s">
        <v>21</v>
      </c>
      <c r="D714" s="5">
        <v>28</v>
      </c>
      <c r="E714" s="5" t="s">
        <v>22</v>
      </c>
      <c r="F714" s="5" t="s">
        <v>42</v>
      </c>
      <c r="G714" s="5" t="s">
        <v>33</v>
      </c>
      <c r="H714" s="5">
        <v>809562</v>
      </c>
      <c r="I714">
        <v>759</v>
      </c>
      <c r="J714">
        <v>1626631</v>
      </c>
      <c r="K714">
        <v>84</v>
      </c>
      <c r="L714">
        <v>9.25</v>
      </c>
      <c r="M714" t="s">
        <v>54</v>
      </c>
      <c r="N714" t="s">
        <v>38</v>
      </c>
      <c r="O714" t="s">
        <v>27</v>
      </c>
      <c r="P714">
        <v>21155.89</v>
      </c>
      <c r="Q714">
        <v>1225933.7</v>
      </c>
      <c r="R714" t="s">
        <v>28</v>
      </c>
      <c r="S714" s="1">
        <v>45908</v>
      </c>
    </row>
    <row r="715" spans="1:19" x14ac:dyDescent="0.25">
      <c r="A715" s="5" t="s">
        <v>1467</v>
      </c>
      <c r="B715" s="5" t="s">
        <v>1468</v>
      </c>
      <c r="C715" s="5" t="s">
        <v>31</v>
      </c>
      <c r="D715" s="5">
        <v>30</v>
      </c>
      <c r="E715" s="5" t="s">
        <v>22</v>
      </c>
      <c r="F715" s="5" t="s">
        <v>42</v>
      </c>
      <c r="G715" s="5" t="s">
        <v>24</v>
      </c>
      <c r="H715" s="5">
        <v>1704107</v>
      </c>
      <c r="I715">
        <v>634</v>
      </c>
      <c r="J715">
        <v>1078877</v>
      </c>
      <c r="K715">
        <v>240</v>
      </c>
      <c r="L715">
        <v>10.27</v>
      </c>
      <c r="M715" t="s">
        <v>25</v>
      </c>
      <c r="N715" t="s">
        <v>104</v>
      </c>
      <c r="O715" t="s">
        <v>39</v>
      </c>
      <c r="P715">
        <v>4956.99</v>
      </c>
      <c r="Q715">
        <v>998786.24</v>
      </c>
      <c r="R715" t="s">
        <v>28</v>
      </c>
      <c r="S715" s="1">
        <v>46007</v>
      </c>
    </row>
    <row r="716" spans="1:19" x14ac:dyDescent="0.25">
      <c r="A716" s="5" t="s">
        <v>1469</v>
      </c>
      <c r="B716" s="5" t="s">
        <v>1470</v>
      </c>
      <c r="C716" s="5" t="s">
        <v>31</v>
      </c>
      <c r="D716" s="5">
        <v>32</v>
      </c>
      <c r="E716" s="5" t="s">
        <v>32</v>
      </c>
      <c r="F716" s="5" t="s">
        <v>42</v>
      </c>
      <c r="G716" s="5" t="s">
        <v>33</v>
      </c>
      <c r="H716" s="5">
        <v>436335</v>
      </c>
      <c r="I716">
        <v>838</v>
      </c>
      <c r="J716">
        <v>1113574</v>
      </c>
      <c r="K716">
        <v>12</v>
      </c>
      <c r="L716">
        <v>8.06</v>
      </c>
      <c r="M716" t="s">
        <v>25</v>
      </c>
      <c r="N716" t="s">
        <v>51</v>
      </c>
      <c r="O716" t="s">
        <v>27</v>
      </c>
      <c r="P716">
        <v>100277.34</v>
      </c>
      <c r="Q716">
        <v>907192.25</v>
      </c>
      <c r="R716" t="s">
        <v>28</v>
      </c>
      <c r="S716" s="1">
        <v>45542</v>
      </c>
    </row>
    <row r="717" spans="1:19" x14ac:dyDescent="0.25">
      <c r="A717" s="5" t="s">
        <v>1471</v>
      </c>
      <c r="B717" s="5" t="s">
        <v>1472</v>
      </c>
      <c r="C717" s="5" t="s">
        <v>21</v>
      </c>
      <c r="D717" s="5">
        <v>29</v>
      </c>
      <c r="E717" s="5" t="s">
        <v>22</v>
      </c>
      <c r="F717" s="5" t="s">
        <v>42</v>
      </c>
      <c r="G717" s="5" t="s">
        <v>33</v>
      </c>
      <c r="H717" s="5">
        <v>1233310</v>
      </c>
      <c r="I717">
        <v>623</v>
      </c>
      <c r="J717">
        <v>1915990</v>
      </c>
      <c r="K717">
        <v>180</v>
      </c>
      <c r="L717">
        <v>13.87</v>
      </c>
      <c r="M717" t="s">
        <v>43</v>
      </c>
      <c r="N717" t="s">
        <v>38</v>
      </c>
      <c r="O717" t="s">
        <v>39</v>
      </c>
      <c r="P717">
        <v>12120.77</v>
      </c>
      <c r="Q717">
        <v>225829.94</v>
      </c>
      <c r="R717" t="s">
        <v>28</v>
      </c>
      <c r="S717" s="1">
        <v>45326</v>
      </c>
    </row>
    <row r="718" spans="1:19" x14ac:dyDescent="0.25">
      <c r="A718" s="5" t="s">
        <v>1473</v>
      </c>
      <c r="B718" s="5" t="s">
        <v>1474</v>
      </c>
      <c r="C718" s="5" t="s">
        <v>31</v>
      </c>
      <c r="D718" s="5">
        <v>34</v>
      </c>
      <c r="E718" s="5" t="s">
        <v>22</v>
      </c>
      <c r="F718" s="5" t="s">
        <v>42</v>
      </c>
      <c r="G718" s="5" t="s">
        <v>24</v>
      </c>
      <c r="H718" s="5">
        <v>1232312</v>
      </c>
      <c r="I718">
        <v>779</v>
      </c>
      <c r="J718">
        <v>237030</v>
      </c>
      <c r="K718">
        <v>36</v>
      </c>
      <c r="L718">
        <v>12.71</v>
      </c>
      <c r="M718" t="s">
        <v>57</v>
      </c>
      <c r="N718" t="s">
        <v>38</v>
      </c>
      <c r="O718" t="s">
        <v>27</v>
      </c>
      <c r="P718">
        <v>7421.01</v>
      </c>
      <c r="Q718">
        <v>202044.6</v>
      </c>
      <c r="R718" t="s">
        <v>28</v>
      </c>
      <c r="S718" s="1">
        <v>45959</v>
      </c>
    </row>
    <row r="719" spans="1:19" x14ac:dyDescent="0.25">
      <c r="A719" s="5" t="s">
        <v>1475</v>
      </c>
      <c r="B719" s="5" t="s">
        <v>1476</v>
      </c>
      <c r="C719" s="5" t="s">
        <v>31</v>
      </c>
      <c r="D719" s="5">
        <v>56</v>
      </c>
      <c r="E719" s="5" t="s">
        <v>22</v>
      </c>
      <c r="F719" s="5" t="s">
        <v>23</v>
      </c>
      <c r="G719" s="5" t="s">
        <v>24</v>
      </c>
      <c r="H719" s="5">
        <v>675683</v>
      </c>
      <c r="I719">
        <v>645</v>
      </c>
      <c r="J719">
        <v>786887</v>
      </c>
      <c r="K719">
        <v>48</v>
      </c>
      <c r="L719">
        <v>9.58</v>
      </c>
      <c r="M719" t="s">
        <v>25</v>
      </c>
      <c r="N719" t="s">
        <v>26</v>
      </c>
      <c r="O719" t="s">
        <v>27</v>
      </c>
      <c r="P719">
        <v>17963.97</v>
      </c>
      <c r="Q719">
        <v>145459.35</v>
      </c>
      <c r="R719" t="s">
        <v>28</v>
      </c>
      <c r="S719" s="1">
        <v>45439</v>
      </c>
    </row>
    <row r="720" spans="1:19" x14ac:dyDescent="0.25">
      <c r="A720" s="5" t="s">
        <v>1477</v>
      </c>
      <c r="B720" s="5" t="s">
        <v>1478</v>
      </c>
      <c r="C720" s="5" t="s">
        <v>31</v>
      </c>
      <c r="D720" s="5">
        <v>25</v>
      </c>
      <c r="E720" s="5" t="s">
        <v>22</v>
      </c>
      <c r="F720" s="5" t="s">
        <v>23</v>
      </c>
      <c r="G720" s="5" t="s">
        <v>33</v>
      </c>
      <c r="H720" s="5">
        <v>1131110</v>
      </c>
      <c r="I720">
        <v>643</v>
      </c>
      <c r="J720">
        <v>1603216</v>
      </c>
      <c r="K720">
        <v>12</v>
      </c>
      <c r="L720">
        <v>13.27</v>
      </c>
      <c r="M720" t="s">
        <v>54</v>
      </c>
      <c r="N720" t="s">
        <v>104</v>
      </c>
      <c r="O720" t="s">
        <v>27</v>
      </c>
      <c r="P720">
        <v>151330.23000000001</v>
      </c>
      <c r="Q720">
        <v>733610.91</v>
      </c>
      <c r="R720" t="s">
        <v>28</v>
      </c>
      <c r="S720" s="1">
        <v>45521</v>
      </c>
    </row>
    <row r="721" spans="1:19" x14ac:dyDescent="0.25">
      <c r="A721" s="5" t="s">
        <v>1479</v>
      </c>
      <c r="B721" s="5" t="s">
        <v>1480</v>
      </c>
      <c r="C721" s="5" t="s">
        <v>31</v>
      </c>
      <c r="D721" s="5">
        <v>56</v>
      </c>
      <c r="E721" s="5" t="s">
        <v>22</v>
      </c>
      <c r="F721" s="5" t="s">
        <v>23</v>
      </c>
      <c r="G721" s="5" t="s">
        <v>33</v>
      </c>
      <c r="H721" s="5">
        <v>849228</v>
      </c>
      <c r="I721">
        <v>804</v>
      </c>
      <c r="J721">
        <v>342712</v>
      </c>
      <c r="K721">
        <v>120</v>
      </c>
      <c r="L721">
        <v>9.2200000000000006</v>
      </c>
      <c r="M721" t="s">
        <v>5</v>
      </c>
      <c r="N721" t="s">
        <v>104</v>
      </c>
      <c r="O721" t="s">
        <v>27</v>
      </c>
      <c r="P721">
        <v>3119.25</v>
      </c>
      <c r="Q721">
        <v>178927.69</v>
      </c>
      <c r="R721" t="s">
        <v>28</v>
      </c>
      <c r="S721" s="1">
        <v>45729</v>
      </c>
    </row>
    <row r="722" spans="1:19" x14ac:dyDescent="0.25">
      <c r="A722" s="5" t="s">
        <v>1481</v>
      </c>
      <c r="B722" s="5" t="s">
        <v>1482</v>
      </c>
      <c r="C722" s="5" t="s">
        <v>21</v>
      </c>
      <c r="D722" s="5">
        <v>52</v>
      </c>
      <c r="E722" s="5" t="s">
        <v>22</v>
      </c>
      <c r="F722" s="5" t="s">
        <v>23</v>
      </c>
      <c r="G722" s="5" t="s">
        <v>33</v>
      </c>
      <c r="H722" s="5">
        <v>1900749</v>
      </c>
      <c r="I722">
        <v>837</v>
      </c>
      <c r="J722">
        <v>101975</v>
      </c>
      <c r="K722">
        <v>12</v>
      </c>
      <c r="L722">
        <v>8.18</v>
      </c>
      <c r="M722" t="s">
        <v>43</v>
      </c>
      <c r="N722" t="s">
        <v>26</v>
      </c>
      <c r="O722" t="s">
        <v>27</v>
      </c>
      <c r="P722">
        <v>9193.0499999999993</v>
      </c>
      <c r="Q722">
        <v>75554.87</v>
      </c>
      <c r="R722" t="s">
        <v>28</v>
      </c>
      <c r="S722" s="1">
        <v>45907</v>
      </c>
    </row>
    <row r="723" spans="1:19" x14ac:dyDescent="0.25">
      <c r="A723" s="5" t="s">
        <v>1483</v>
      </c>
      <c r="B723" s="5" t="s">
        <v>1484</v>
      </c>
      <c r="C723" s="5" t="s">
        <v>21</v>
      </c>
      <c r="D723" s="5">
        <v>50</v>
      </c>
      <c r="E723" s="5" t="s">
        <v>32</v>
      </c>
      <c r="F723" s="5" t="s">
        <v>42</v>
      </c>
      <c r="G723" s="5" t="s">
        <v>24</v>
      </c>
      <c r="H723" s="5">
        <v>825132</v>
      </c>
      <c r="I723">
        <v>809</v>
      </c>
      <c r="J723">
        <v>199979</v>
      </c>
      <c r="K723">
        <v>48</v>
      </c>
      <c r="L723">
        <v>13.46</v>
      </c>
      <c r="M723" t="s">
        <v>5</v>
      </c>
      <c r="N723" t="s">
        <v>44</v>
      </c>
      <c r="O723" t="s">
        <v>27</v>
      </c>
      <c r="P723">
        <v>4727</v>
      </c>
      <c r="Q723">
        <v>71805.45</v>
      </c>
      <c r="R723" t="s">
        <v>28</v>
      </c>
      <c r="S723" s="1">
        <v>45986</v>
      </c>
    </row>
    <row r="724" spans="1:19" x14ac:dyDescent="0.25">
      <c r="A724" s="5" t="s">
        <v>1485</v>
      </c>
      <c r="B724" s="5" t="s">
        <v>1486</v>
      </c>
      <c r="C724" s="5" t="s">
        <v>31</v>
      </c>
      <c r="D724" s="5">
        <v>52</v>
      </c>
      <c r="E724" s="5" t="s">
        <v>22</v>
      </c>
      <c r="F724" s="5" t="s">
        <v>23</v>
      </c>
      <c r="G724" s="5" t="s">
        <v>24</v>
      </c>
      <c r="H724" s="5">
        <v>1279793</v>
      </c>
      <c r="I724">
        <v>633</v>
      </c>
      <c r="J724">
        <v>859261</v>
      </c>
      <c r="K724">
        <v>12</v>
      </c>
      <c r="L724">
        <v>10.210000000000001</v>
      </c>
      <c r="M724" t="s">
        <v>43</v>
      </c>
      <c r="N724" t="s">
        <v>44</v>
      </c>
      <c r="O724" t="s">
        <v>27</v>
      </c>
      <c r="P724">
        <v>78915.960000000006</v>
      </c>
      <c r="Q724">
        <v>701108.56</v>
      </c>
      <c r="R724" t="s">
        <v>28</v>
      </c>
      <c r="S724" s="1">
        <v>45978</v>
      </c>
    </row>
    <row r="725" spans="1:19" x14ac:dyDescent="0.25">
      <c r="A725" s="5" t="s">
        <v>1487</v>
      </c>
      <c r="B725" s="5" t="s">
        <v>1488</v>
      </c>
      <c r="C725" s="5" t="s">
        <v>21</v>
      </c>
      <c r="D725" s="5">
        <v>54</v>
      </c>
      <c r="E725" s="5" t="s">
        <v>32</v>
      </c>
      <c r="F725" s="5" t="s">
        <v>42</v>
      </c>
      <c r="G725" s="5" t="s">
        <v>33</v>
      </c>
      <c r="H725" s="5">
        <v>587235</v>
      </c>
      <c r="I725">
        <v>641</v>
      </c>
      <c r="J725">
        <v>1250552</v>
      </c>
      <c r="K725">
        <v>120</v>
      </c>
      <c r="L725">
        <v>12.12</v>
      </c>
      <c r="M725" t="s">
        <v>43</v>
      </c>
      <c r="N725" t="s">
        <v>38</v>
      </c>
      <c r="O725" t="s">
        <v>39</v>
      </c>
      <c r="P725">
        <v>11684.32</v>
      </c>
      <c r="Q725">
        <v>965192.14</v>
      </c>
      <c r="R725" t="s">
        <v>28</v>
      </c>
      <c r="S725" s="1">
        <v>45465</v>
      </c>
    </row>
    <row r="726" spans="1:19" x14ac:dyDescent="0.25">
      <c r="A726" s="5" t="s">
        <v>1489</v>
      </c>
      <c r="B726" s="5" t="s">
        <v>1490</v>
      </c>
      <c r="C726" s="5" t="s">
        <v>31</v>
      </c>
      <c r="D726" s="5">
        <v>25</v>
      </c>
      <c r="E726" s="5" t="s">
        <v>32</v>
      </c>
      <c r="F726" s="5" t="s">
        <v>23</v>
      </c>
      <c r="G726" s="5" t="s">
        <v>24</v>
      </c>
      <c r="H726" s="5">
        <v>1177156</v>
      </c>
      <c r="I726">
        <v>584</v>
      </c>
      <c r="J726">
        <v>1440842</v>
      </c>
      <c r="K726">
        <v>180</v>
      </c>
      <c r="L726">
        <v>9.7100000000000009</v>
      </c>
      <c r="M726" t="s">
        <v>57</v>
      </c>
      <c r="N726" t="s">
        <v>104</v>
      </c>
      <c r="O726" t="s">
        <v>39</v>
      </c>
      <c r="P726">
        <v>8781.93</v>
      </c>
      <c r="Q726">
        <v>252852.05</v>
      </c>
      <c r="R726" t="s">
        <v>28</v>
      </c>
      <c r="S726" s="1">
        <v>45772</v>
      </c>
    </row>
    <row r="727" spans="1:19" x14ac:dyDescent="0.25">
      <c r="A727" s="5" t="s">
        <v>1491</v>
      </c>
      <c r="B727" s="5" t="s">
        <v>1492</v>
      </c>
      <c r="C727" s="5" t="s">
        <v>21</v>
      </c>
      <c r="D727" s="5">
        <v>21</v>
      </c>
      <c r="E727" s="5" t="s">
        <v>32</v>
      </c>
      <c r="F727" s="5" t="s">
        <v>42</v>
      </c>
      <c r="G727" s="5" t="s">
        <v>33</v>
      </c>
      <c r="H727" s="5">
        <v>790778</v>
      </c>
      <c r="I727">
        <v>628</v>
      </c>
      <c r="J727">
        <v>400024</v>
      </c>
      <c r="K727">
        <v>48</v>
      </c>
      <c r="L727">
        <v>8.93</v>
      </c>
      <c r="M727" t="s">
        <v>25</v>
      </c>
      <c r="N727" t="s">
        <v>44</v>
      </c>
      <c r="O727" t="s">
        <v>27</v>
      </c>
      <c r="P727">
        <v>9078.0400000000009</v>
      </c>
      <c r="Q727">
        <v>212103.23</v>
      </c>
      <c r="R727" t="s">
        <v>28</v>
      </c>
      <c r="S727" s="1">
        <v>45635</v>
      </c>
    </row>
    <row r="728" spans="1:19" x14ac:dyDescent="0.25">
      <c r="A728" s="5" t="s">
        <v>1493</v>
      </c>
      <c r="B728" s="5" t="s">
        <v>1494</v>
      </c>
      <c r="C728" s="5" t="s">
        <v>21</v>
      </c>
      <c r="D728" s="5">
        <v>30</v>
      </c>
      <c r="E728" s="5" t="s">
        <v>32</v>
      </c>
      <c r="F728" s="5" t="s">
        <v>23</v>
      </c>
      <c r="G728" s="5" t="s">
        <v>24</v>
      </c>
      <c r="H728" s="5">
        <v>609745</v>
      </c>
      <c r="I728">
        <v>640</v>
      </c>
      <c r="J728">
        <v>1077773</v>
      </c>
      <c r="K728">
        <v>48</v>
      </c>
      <c r="L728">
        <v>11.57</v>
      </c>
      <c r="M728" t="s">
        <v>25</v>
      </c>
      <c r="N728" t="s">
        <v>104</v>
      </c>
      <c r="O728" t="s">
        <v>39</v>
      </c>
      <c r="P728">
        <v>25051.49</v>
      </c>
      <c r="Q728">
        <v>777844.48</v>
      </c>
      <c r="R728" t="s">
        <v>28</v>
      </c>
      <c r="S728" s="1">
        <v>45518</v>
      </c>
    </row>
    <row r="729" spans="1:19" x14ac:dyDescent="0.25">
      <c r="A729" s="5" t="s">
        <v>1495</v>
      </c>
      <c r="B729" s="5" t="s">
        <v>1496</v>
      </c>
      <c r="C729" s="5" t="s">
        <v>21</v>
      </c>
      <c r="D729" s="5">
        <v>59</v>
      </c>
      <c r="E729" s="5" t="s">
        <v>32</v>
      </c>
      <c r="F729" s="5" t="s">
        <v>42</v>
      </c>
      <c r="G729" s="5" t="s">
        <v>24</v>
      </c>
      <c r="H729" s="5">
        <v>505828</v>
      </c>
      <c r="I729">
        <v>716</v>
      </c>
      <c r="J729">
        <v>211858</v>
      </c>
      <c r="K729">
        <v>84</v>
      </c>
      <c r="L729">
        <v>15.21</v>
      </c>
      <c r="M729" t="s">
        <v>43</v>
      </c>
      <c r="N729" t="s">
        <v>34</v>
      </c>
      <c r="O729" t="s">
        <v>27</v>
      </c>
      <c r="P729">
        <v>2905.73</v>
      </c>
      <c r="Q729">
        <v>102671.69</v>
      </c>
      <c r="R729" t="s">
        <v>28</v>
      </c>
      <c r="S729" s="1">
        <v>45822</v>
      </c>
    </row>
    <row r="730" spans="1:19" x14ac:dyDescent="0.25">
      <c r="A730" s="5" t="s">
        <v>1497</v>
      </c>
      <c r="B730" s="5" t="s">
        <v>1498</v>
      </c>
      <c r="C730" s="5" t="s">
        <v>31</v>
      </c>
      <c r="D730" s="5">
        <v>24</v>
      </c>
      <c r="E730" s="5" t="s">
        <v>32</v>
      </c>
      <c r="F730" s="5" t="s">
        <v>23</v>
      </c>
      <c r="G730" s="5" t="s">
        <v>33</v>
      </c>
      <c r="H730" s="5">
        <v>1006041</v>
      </c>
      <c r="I730">
        <v>657</v>
      </c>
      <c r="J730">
        <v>581491</v>
      </c>
      <c r="K730">
        <v>84</v>
      </c>
      <c r="L730">
        <v>9.42</v>
      </c>
      <c r="M730" t="s">
        <v>5</v>
      </c>
      <c r="N730" t="s">
        <v>51</v>
      </c>
      <c r="O730" t="s">
        <v>27</v>
      </c>
      <c r="P730">
        <v>7574.61</v>
      </c>
      <c r="Q730">
        <v>284860.76</v>
      </c>
      <c r="R730" t="s">
        <v>28</v>
      </c>
      <c r="S730" s="1">
        <v>45551</v>
      </c>
    </row>
    <row r="731" spans="1:19" x14ac:dyDescent="0.25">
      <c r="A731" s="5" t="s">
        <v>1499</v>
      </c>
      <c r="B731" s="5" t="s">
        <v>1500</v>
      </c>
      <c r="C731" s="5" t="s">
        <v>31</v>
      </c>
      <c r="D731" s="5">
        <v>57</v>
      </c>
      <c r="E731" s="5" t="s">
        <v>22</v>
      </c>
      <c r="F731" s="5" t="s">
        <v>42</v>
      </c>
      <c r="G731" s="5" t="s">
        <v>33</v>
      </c>
      <c r="H731" s="5">
        <v>1490538</v>
      </c>
      <c r="I731">
        <v>815</v>
      </c>
      <c r="J731">
        <v>1155357</v>
      </c>
      <c r="K731">
        <v>12</v>
      </c>
      <c r="L731">
        <v>9.11</v>
      </c>
      <c r="M731" t="s">
        <v>25</v>
      </c>
      <c r="N731" t="s">
        <v>44</v>
      </c>
      <c r="O731" t="s">
        <v>27</v>
      </c>
      <c r="P731">
        <v>105050.84</v>
      </c>
      <c r="Q731">
        <v>739939.68</v>
      </c>
      <c r="R731" t="s">
        <v>28</v>
      </c>
      <c r="S731" s="1">
        <v>45550</v>
      </c>
    </row>
    <row r="732" spans="1:19" x14ac:dyDescent="0.25">
      <c r="A732" s="5" t="s">
        <v>1501</v>
      </c>
      <c r="B732" s="5" t="s">
        <v>1502</v>
      </c>
      <c r="C732" s="5" t="s">
        <v>21</v>
      </c>
      <c r="D732" s="5">
        <v>35</v>
      </c>
      <c r="E732" s="5" t="s">
        <v>32</v>
      </c>
      <c r="F732" s="5" t="s">
        <v>42</v>
      </c>
      <c r="G732" s="5" t="s">
        <v>33</v>
      </c>
      <c r="H732" s="5">
        <v>619505</v>
      </c>
      <c r="I732">
        <v>646</v>
      </c>
      <c r="J732">
        <v>1680246</v>
      </c>
      <c r="K732">
        <v>84</v>
      </c>
      <c r="L732">
        <v>13.62</v>
      </c>
      <c r="M732" t="s">
        <v>25</v>
      </c>
      <c r="N732" t="s">
        <v>26</v>
      </c>
      <c r="O732" t="s">
        <v>27</v>
      </c>
      <c r="P732">
        <v>22727.33</v>
      </c>
      <c r="Q732">
        <v>875372.76</v>
      </c>
      <c r="R732" t="s">
        <v>28</v>
      </c>
      <c r="S732" s="1">
        <v>45549</v>
      </c>
    </row>
    <row r="733" spans="1:19" x14ac:dyDescent="0.25">
      <c r="A733" s="5" t="s">
        <v>1503</v>
      </c>
      <c r="B733" s="5" t="s">
        <v>1504</v>
      </c>
      <c r="C733" s="5" t="s">
        <v>31</v>
      </c>
      <c r="D733" s="5">
        <v>30</v>
      </c>
      <c r="E733" s="5" t="s">
        <v>32</v>
      </c>
      <c r="F733" s="5" t="s">
        <v>23</v>
      </c>
      <c r="G733" s="5" t="s">
        <v>33</v>
      </c>
      <c r="H733" s="5">
        <v>1198564</v>
      </c>
      <c r="I733">
        <v>581</v>
      </c>
      <c r="J733">
        <v>1080678</v>
      </c>
      <c r="K733">
        <v>36</v>
      </c>
      <c r="L733">
        <v>12.13</v>
      </c>
      <c r="M733" t="s">
        <v>57</v>
      </c>
      <c r="N733" t="s">
        <v>34</v>
      </c>
      <c r="O733" t="s">
        <v>39</v>
      </c>
      <c r="P733">
        <v>33660.120000000003</v>
      </c>
      <c r="Q733">
        <v>136932.07999999999</v>
      </c>
      <c r="R733" t="s">
        <v>28</v>
      </c>
      <c r="S733" s="1">
        <v>45838</v>
      </c>
    </row>
    <row r="734" spans="1:19" x14ac:dyDescent="0.25">
      <c r="A734" s="5" t="s">
        <v>1505</v>
      </c>
      <c r="B734" s="5" t="s">
        <v>1506</v>
      </c>
      <c r="C734" s="5" t="s">
        <v>21</v>
      </c>
      <c r="D734" s="5">
        <v>42</v>
      </c>
      <c r="E734" s="5" t="s">
        <v>22</v>
      </c>
      <c r="F734" s="5" t="s">
        <v>23</v>
      </c>
      <c r="G734" s="5" t="s">
        <v>33</v>
      </c>
      <c r="H734" s="5">
        <v>514909</v>
      </c>
      <c r="I734">
        <v>723</v>
      </c>
      <c r="J734">
        <v>1956426</v>
      </c>
      <c r="K734">
        <v>120</v>
      </c>
      <c r="L734">
        <v>10.95</v>
      </c>
      <c r="M734" t="s">
        <v>54</v>
      </c>
      <c r="N734" t="s">
        <v>38</v>
      </c>
      <c r="O734" t="s">
        <v>27</v>
      </c>
      <c r="P734">
        <v>18088.79</v>
      </c>
      <c r="Q734">
        <v>877203.83</v>
      </c>
      <c r="R734" t="s">
        <v>28</v>
      </c>
      <c r="S734" s="1">
        <v>45595</v>
      </c>
    </row>
    <row r="735" spans="1:19" x14ac:dyDescent="0.25">
      <c r="A735" s="5" t="s">
        <v>1507</v>
      </c>
      <c r="B735" s="5" t="s">
        <v>1508</v>
      </c>
      <c r="C735" s="5" t="s">
        <v>31</v>
      </c>
      <c r="D735" s="5">
        <v>59</v>
      </c>
      <c r="E735" s="5" t="s">
        <v>32</v>
      </c>
      <c r="F735" s="5" t="s">
        <v>42</v>
      </c>
      <c r="G735" s="5" t="s">
        <v>33</v>
      </c>
      <c r="H735" s="5">
        <v>632296</v>
      </c>
      <c r="I735">
        <v>764</v>
      </c>
      <c r="J735">
        <v>189773</v>
      </c>
      <c r="K735">
        <v>24</v>
      </c>
      <c r="L735">
        <v>7.56</v>
      </c>
      <c r="M735" t="s">
        <v>5</v>
      </c>
      <c r="N735" t="s">
        <v>26</v>
      </c>
      <c r="O735" t="s">
        <v>27</v>
      </c>
      <c r="P735">
        <v>8504.99</v>
      </c>
      <c r="Q735">
        <v>132178.41</v>
      </c>
      <c r="R735" t="s">
        <v>28</v>
      </c>
      <c r="S735" s="1">
        <v>45379</v>
      </c>
    </row>
    <row r="736" spans="1:19" x14ac:dyDescent="0.25">
      <c r="A736" s="5" t="s">
        <v>1509</v>
      </c>
      <c r="B736" s="5" t="s">
        <v>1510</v>
      </c>
      <c r="C736" s="5" t="s">
        <v>21</v>
      </c>
      <c r="D736" s="5">
        <v>50</v>
      </c>
      <c r="E736" s="5" t="s">
        <v>32</v>
      </c>
      <c r="F736" s="5" t="s">
        <v>23</v>
      </c>
      <c r="G736" s="5" t="s">
        <v>24</v>
      </c>
      <c r="H736" s="5">
        <v>1444452</v>
      </c>
      <c r="I736">
        <v>628</v>
      </c>
      <c r="J736">
        <v>1155244</v>
      </c>
      <c r="K736">
        <v>84</v>
      </c>
      <c r="L736">
        <v>15.24</v>
      </c>
      <c r="M736" t="s">
        <v>54</v>
      </c>
      <c r="N736" t="s">
        <v>44</v>
      </c>
      <c r="O736" t="s">
        <v>27</v>
      </c>
      <c r="P736">
        <v>15848.85</v>
      </c>
      <c r="Q736">
        <v>544008.57999999996</v>
      </c>
      <c r="R736" t="s">
        <v>28</v>
      </c>
      <c r="S736" s="1">
        <v>45931</v>
      </c>
    </row>
    <row r="737" spans="1:19" x14ac:dyDescent="0.25">
      <c r="A737" s="5" t="s">
        <v>1511</v>
      </c>
      <c r="B737" s="5" t="s">
        <v>1512</v>
      </c>
      <c r="C737" s="5" t="s">
        <v>31</v>
      </c>
      <c r="D737" s="5">
        <v>38</v>
      </c>
      <c r="E737" s="5" t="s">
        <v>32</v>
      </c>
      <c r="F737" s="5" t="s">
        <v>23</v>
      </c>
      <c r="G737" s="5" t="s">
        <v>24</v>
      </c>
      <c r="H737" s="5">
        <v>1940281</v>
      </c>
      <c r="I737">
        <v>803</v>
      </c>
      <c r="J737">
        <v>1865167</v>
      </c>
      <c r="K737">
        <v>24</v>
      </c>
      <c r="L737">
        <v>13.25</v>
      </c>
      <c r="M737" t="s">
        <v>5</v>
      </c>
      <c r="N737" t="s">
        <v>51</v>
      </c>
      <c r="O737" t="s">
        <v>27</v>
      </c>
      <c r="P737">
        <v>88012.57</v>
      </c>
      <c r="Q737">
        <v>1710378.73</v>
      </c>
      <c r="R737" t="s">
        <v>28</v>
      </c>
      <c r="S737" s="1">
        <v>45673</v>
      </c>
    </row>
    <row r="738" spans="1:19" x14ac:dyDescent="0.25">
      <c r="A738" s="5" t="s">
        <v>1513</v>
      </c>
      <c r="B738" s="5" t="s">
        <v>1514</v>
      </c>
      <c r="C738" s="5" t="s">
        <v>21</v>
      </c>
      <c r="D738" s="5">
        <v>46</v>
      </c>
      <c r="E738" s="5" t="s">
        <v>22</v>
      </c>
      <c r="F738" s="5" t="s">
        <v>42</v>
      </c>
      <c r="G738" s="5" t="s">
        <v>24</v>
      </c>
      <c r="H738" s="5">
        <v>1678010</v>
      </c>
      <c r="I738">
        <v>596</v>
      </c>
      <c r="J738">
        <v>1879252</v>
      </c>
      <c r="K738">
        <v>24</v>
      </c>
      <c r="L738">
        <v>12.58</v>
      </c>
      <c r="M738" t="s">
        <v>43</v>
      </c>
      <c r="N738" t="s">
        <v>104</v>
      </c>
      <c r="O738" t="s">
        <v>39</v>
      </c>
      <c r="P738">
        <v>88152.58</v>
      </c>
      <c r="Q738">
        <v>695332.23</v>
      </c>
      <c r="R738" t="s">
        <v>28</v>
      </c>
      <c r="S738" s="1">
        <v>45496</v>
      </c>
    </row>
    <row r="739" spans="1:19" x14ac:dyDescent="0.25">
      <c r="A739" s="5" t="s">
        <v>1515</v>
      </c>
      <c r="B739" s="5" t="s">
        <v>1516</v>
      </c>
      <c r="C739" s="5" t="s">
        <v>31</v>
      </c>
      <c r="D739" s="5">
        <v>34</v>
      </c>
      <c r="E739" s="5" t="s">
        <v>32</v>
      </c>
      <c r="F739" s="5" t="s">
        <v>42</v>
      </c>
      <c r="G739" s="5" t="s">
        <v>24</v>
      </c>
      <c r="H739" s="5">
        <v>371762</v>
      </c>
      <c r="I739">
        <v>579</v>
      </c>
      <c r="J739">
        <v>209830</v>
      </c>
      <c r="K739">
        <v>120</v>
      </c>
      <c r="L739">
        <v>10.4</v>
      </c>
      <c r="M739" t="s">
        <v>57</v>
      </c>
      <c r="N739" t="s">
        <v>38</v>
      </c>
      <c r="O739" t="s">
        <v>39</v>
      </c>
      <c r="P739">
        <v>1930.44</v>
      </c>
      <c r="Q739">
        <v>147399.04999999999</v>
      </c>
      <c r="R739" t="s">
        <v>28</v>
      </c>
      <c r="S739" s="1">
        <v>45655</v>
      </c>
    </row>
    <row r="740" spans="1:19" x14ac:dyDescent="0.25">
      <c r="A740" s="5" t="s">
        <v>1517</v>
      </c>
      <c r="B740" s="5" t="s">
        <v>1518</v>
      </c>
      <c r="C740" s="5" t="s">
        <v>31</v>
      </c>
      <c r="D740" s="5">
        <v>56</v>
      </c>
      <c r="E740" s="5" t="s">
        <v>32</v>
      </c>
      <c r="F740" s="5" t="s">
        <v>42</v>
      </c>
      <c r="G740" s="5" t="s">
        <v>24</v>
      </c>
      <c r="H740" s="5">
        <v>870408</v>
      </c>
      <c r="I740">
        <v>643</v>
      </c>
      <c r="J740">
        <v>1880164</v>
      </c>
      <c r="K740">
        <v>120</v>
      </c>
      <c r="L740">
        <v>14.47</v>
      </c>
      <c r="M740" t="s">
        <v>25</v>
      </c>
      <c r="N740" t="s">
        <v>38</v>
      </c>
      <c r="O740" t="s">
        <v>27</v>
      </c>
      <c r="P740">
        <v>17935.2</v>
      </c>
      <c r="Q740">
        <v>1300193.3600000001</v>
      </c>
      <c r="R740" t="s">
        <v>28</v>
      </c>
      <c r="S740" s="1">
        <v>45574</v>
      </c>
    </row>
    <row r="741" spans="1:19" x14ac:dyDescent="0.25">
      <c r="A741" s="5" t="s">
        <v>1519</v>
      </c>
      <c r="B741" s="5" t="s">
        <v>1520</v>
      </c>
      <c r="C741" s="5" t="s">
        <v>31</v>
      </c>
      <c r="D741" s="5">
        <v>56</v>
      </c>
      <c r="E741" s="5" t="s">
        <v>32</v>
      </c>
      <c r="F741" s="5" t="s">
        <v>42</v>
      </c>
      <c r="G741" s="5" t="s">
        <v>33</v>
      </c>
      <c r="H741" s="5">
        <v>1877943</v>
      </c>
      <c r="I741">
        <v>629</v>
      </c>
      <c r="J741">
        <v>180316</v>
      </c>
      <c r="K741">
        <v>48</v>
      </c>
      <c r="L741">
        <v>8.26</v>
      </c>
      <c r="M741" t="s">
        <v>54</v>
      </c>
      <c r="N741" t="s">
        <v>44</v>
      </c>
      <c r="O741" t="s">
        <v>27</v>
      </c>
      <c r="P741">
        <v>4066.88</v>
      </c>
      <c r="Q741">
        <v>115167.82</v>
      </c>
      <c r="R741" t="s">
        <v>28</v>
      </c>
      <c r="S741" s="1">
        <v>45863</v>
      </c>
    </row>
    <row r="742" spans="1:19" x14ac:dyDescent="0.25">
      <c r="A742" s="5" t="s">
        <v>1521</v>
      </c>
      <c r="B742" s="5" t="s">
        <v>1522</v>
      </c>
      <c r="C742" s="5" t="s">
        <v>21</v>
      </c>
      <c r="D742" s="5">
        <v>36</v>
      </c>
      <c r="E742" s="5" t="s">
        <v>32</v>
      </c>
      <c r="F742" s="5" t="s">
        <v>42</v>
      </c>
      <c r="G742" s="5" t="s">
        <v>33</v>
      </c>
      <c r="H742" s="5">
        <v>1056135</v>
      </c>
      <c r="I742">
        <v>833</v>
      </c>
      <c r="J742">
        <v>1970077</v>
      </c>
      <c r="K742">
        <v>120</v>
      </c>
      <c r="L742">
        <v>8.36</v>
      </c>
      <c r="M742" t="s">
        <v>25</v>
      </c>
      <c r="N742" t="s">
        <v>51</v>
      </c>
      <c r="O742" t="s">
        <v>27</v>
      </c>
      <c r="P742">
        <v>17789.8</v>
      </c>
      <c r="Q742">
        <v>1569203.55</v>
      </c>
      <c r="R742" t="s">
        <v>28</v>
      </c>
      <c r="S742" s="1">
        <v>45968</v>
      </c>
    </row>
    <row r="743" spans="1:19" x14ac:dyDescent="0.25">
      <c r="A743" s="5" t="s">
        <v>1523</v>
      </c>
      <c r="B743" s="5" t="s">
        <v>1524</v>
      </c>
      <c r="C743" s="5" t="s">
        <v>21</v>
      </c>
      <c r="D743" s="5">
        <v>46</v>
      </c>
      <c r="E743" s="5" t="s">
        <v>22</v>
      </c>
      <c r="F743" s="5" t="s">
        <v>42</v>
      </c>
      <c r="G743" s="5" t="s">
        <v>24</v>
      </c>
      <c r="H743" s="5">
        <v>1190435</v>
      </c>
      <c r="I743">
        <v>608</v>
      </c>
      <c r="J743">
        <v>1298956</v>
      </c>
      <c r="K743">
        <v>240</v>
      </c>
      <c r="L743">
        <v>13.35</v>
      </c>
      <c r="M743" t="s">
        <v>5</v>
      </c>
      <c r="N743" t="s">
        <v>51</v>
      </c>
      <c r="O743" t="s">
        <v>27</v>
      </c>
      <c r="P743">
        <v>6134.86</v>
      </c>
      <c r="Q743">
        <v>361029.01</v>
      </c>
      <c r="R743" t="s">
        <v>28</v>
      </c>
      <c r="S743" s="1">
        <v>45626</v>
      </c>
    </row>
    <row r="744" spans="1:19" x14ac:dyDescent="0.25">
      <c r="A744" s="5" t="s">
        <v>1525</v>
      </c>
      <c r="B744" s="5" t="s">
        <v>1526</v>
      </c>
      <c r="C744" s="5" t="s">
        <v>21</v>
      </c>
      <c r="D744" s="5">
        <v>28</v>
      </c>
      <c r="E744" s="5" t="s">
        <v>22</v>
      </c>
      <c r="F744" s="5" t="s">
        <v>23</v>
      </c>
      <c r="G744" s="5" t="s">
        <v>24</v>
      </c>
      <c r="H744" s="5">
        <v>355822</v>
      </c>
      <c r="I744">
        <v>744</v>
      </c>
      <c r="J744">
        <v>663181</v>
      </c>
      <c r="K744">
        <v>120</v>
      </c>
      <c r="L744">
        <v>11.93</v>
      </c>
      <c r="M744" t="s">
        <v>25</v>
      </c>
      <c r="N744" t="s">
        <v>38</v>
      </c>
      <c r="O744" t="s">
        <v>39</v>
      </c>
      <c r="P744">
        <v>6185.82</v>
      </c>
      <c r="Q744">
        <v>359693.88</v>
      </c>
      <c r="R744" t="s">
        <v>28</v>
      </c>
      <c r="S744" s="1">
        <v>45936</v>
      </c>
    </row>
    <row r="745" spans="1:19" x14ac:dyDescent="0.25">
      <c r="A745" s="5" t="s">
        <v>1527</v>
      </c>
      <c r="B745" s="5" t="s">
        <v>1528</v>
      </c>
      <c r="C745" s="5" t="s">
        <v>21</v>
      </c>
      <c r="D745" s="5">
        <v>51</v>
      </c>
      <c r="E745" s="5" t="s">
        <v>32</v>
      </c>
      <c r="F745" s="5" t="s">
        <v>23</v>
      </c>
      <c r="G745" s="5" t="s">
        <v>33</v>
      </c>
      <c r="H745" s="5">
        <v>340104</v>
      </c>
      <c r="I745">
        <v>568</v>
      </c>
      <c r="J745">
        <v>1262341</v>
      </c>
      <c r="K745">
        <v>48</v>
      </c>
      <c r="L745">
        <v>14.84</v>
      </c>
      <c r="M745" t="s">
        <v>43</v>
      </c>
      <c r="N745" t="s">
        <v>44</v>
      </c>
      <c r="O745" t="s">
        <v>27</v>
      </c>
      <c r="P745">
        <v>30201.51</v>
      </c>
      <c r="Q745">
        <v>1177436.2</v>
      </c>
      <c r="R745" t="s">
        <v>28</v>
      </c>
      <c r="S745" s="1">
        <v>45450</v>
      </c>
    </row>
    <row r="746" spans="1:19" x14ac:dyDescent="0.25">
      <c r="A746" s="5" t="s">
        <v>1529</v>
      </c>
      <c r="B746" s="5" t="s">
        <v>1530</v>
      </c>
      <c r="C746" s="5" t="s">
        <v>31</v>
      </c>
      <c r="D746" s="5">
        <v>27</v>
      </c>
      <c r="E746" s="5" t="s">
        <v>32</v>
      </c>
      <c r="F746" s="5" t="s">
        <v>23</v>
      </c>
      <c r="G746" s="5" t="s">
        <v>24</v>
      </c>
      <c r="H746" s="5">
        <v>738571</v>
      </c>
      <c r="I746">
        <v>741</v>
      </c>
      <c r="J746">
        <v>1356529</v>
      </c>
      <c r="K746">
        <v>48</v>
      </c>
      <c r="L746">
        <v>7.65</v>
      </c>
      <c r="M746" t="s">
        <v>57</v>
      </c>
      <c r="N746" t="s">
        <v>51</v>
      </c>
      <c r="O746" t="s">
        <v>27</v>
      </c>
      <c r="P746">
        <v>30422.99</v>
      </c>
      <c r="Q746">
        <v>440385.66</v>
      </c>
      <c r="R746" t="s">
        <v>28</v>
      </c>
      <c r="S746" s="1">
        <v>45595</v>
      </c>
    </row>
    <row r="747" spans="1:19" x14ac:dyDescent="0.25">
      <c r="A747" s="5" t="s">
        <v>1531</v>
      </c>
      <c r="B747" s="5" t="s">
        <v>1532</v>
      </c>
      <c r="C747" s="5" t="s">
        <v>31</v>
      </c>
      <c r="D747" s="5">
        <v>28</v>
      </c>
      <c r="E747" s="5" t="s">
        <v>32</v>
      </c>
      <c r="F747" s="5" t="s">
        <v>42</v>
      </c>
      <c r="G747" s="5" t="s">
        <v>33</v>
      </c>
      <c r="H747" s="5">
        <v>1625382</v>
      </c>
      <c r="I747">
        <v>718</v>
      </c>
      <c r="J747">
        <v>643948</v>
      </c>
      <c r="K747">
        <v>120</v>
      </c>
      <c r="L747">
        <v>14.33</v>
      </c>
      <c r="M747" t="s">
        <v>5</v>
      </c>
      <c r="N747" t="s">
        <v>26</v>
      </c>
      <c r="O747" t="s">
        <v>27</v>
      </c>
      <c r="P747">
        <v>6135.21</v>
      </c>
      <c r="Q747">
        <v>481528.82</v>
      </c>
      <c r="R747" t="s">
        <v>28</v>
      </c>
      <c r="S747" s="1">
        <v>45366</v>
      </c>
    </row>
    <row r="748" spans="1:19" x14ac:dyDescent="0.25">
      <c r="A748" s="5" t="s">
        <v>1533</v>
      </c>
      <c r="B748" s="5" t="s">
        <v>1534</v>
      </c>
      <c r="C748" s="5" t="s">
        <v>21</v>
      </c>
      <c r="D748" s="5">
        <v>21</v>
      </c>
      <c r="E748" s="5" t="s">
        <v>22</v>
      </c>
      <c r="F748" s="5" t="s">
        <v>23</v>
      </c>
      <c r="G748" s="5" t="s">
        <v>24</v>
      </c>
      <c r="H748" s="5">
        <v>1805569</v>
      </c>
      <c r="I748">
        <v>636</v>
      </c>
      <c r="J748">
        <v>153017</v>
      </c>
      <c r="K748">
        <v>84</v>
      </c>
      <c r="L748">
        <v>14.27</v>
      </c>
      <c r="M748" t="s">
        <v>54</v>
      </c>
      <c r="N748" t="s">
        <v>104</v>
      </c>
      <c r="O748" t="s">
        <v>39</v>
      </c>
      <c r="P748">
        <v>2081.58</v>
      </c>
      <c r="Q748">
        <v>121899.78</v>
      </c>
      <c r="R748" t="s">
        <v>28</v>
      </c>
      <c r="S748" s="1">
        <v>45756</v>
      </c>
    </row>
    <row r="749" spans="1:19" x14ac:dyDescent="0.25">
      <c r="A749" s="5" t="s">
        <v>1535</v>
      </c>
      <c r="B749" s="5" t="s">
        <v>1536</v>
      </c>
      <c r="C749" s="5" t="s">
        <v>31</v>
      </c>
      <c r="D749" s="5">
        <v>47</v>
      </c>
      <c r="E749" s="5" t="s">
        <v>32</v>
      </c>
      <c r="F749" s="5" t="s">
        <v>23</v>
      </c>
      <c r="G749" s="5" t="s">
        <v>24</v>
      </c>
      <c r="H749" s="5">
        <v>906712</v>
      </c>
      <c r="I749">
        <v>640</v>
      </c>
      <c r="J749">
        <v>1719671</v>
      </c>
      <c r="K749">
        <v>240</v>
      </c>
      <c r="L749">
        <v>10.18</v>
      </c>
      <c r="M749" t="s">
        <v>5</v>
      </c>
      <c r="N749" t="s">
        <v>26</v>
      </c>
      <c r="O749" t="s">
        <v>39</v>
      </c>
      <c r="P749">
        <v>7894.72</v>
      </c>
      <c r="Q749">
        <v>959290.39</v>
      </c>
      <c r="R749" t="s">
        <v>28</v>
      </c>
      <c r="S749" s="1">
        <v>45924</v>
      </c>
    </row>
    <row r="750" spans="1:19" x14ac:dyDescent="0.25">
      <c r="A750" s="5" t="s">
        <v>1537</v>
      </c>
      <c r="B750" s="5" t="s">
        <v>1538</v>
      </c>
      <c r="C750" s="5" t="s">
        <v>21</v>
      </c>
      <c r="D750" s="5">
        <v>56</v>
      </c>
      <c r="E750" s="5" t="s">
        <v>32</v>
      </c>
      <c r="F750" s="5" t="s">
        <v>23</v>
      </c>
      <c r="G750" s="5" t="s">
        <v>24</v>
      </c>
      <c r="H750" s="5">
        <v>950418</v>
      </c>
      <c r="I750">
        <v>730</v>
      </c>
      <c r="J750">
        <v>1158637</v>
      </c>
      <c r="K750">
        <v>84</v>
      </c>
      <c r="L750">
        <v>10.11</v>
      </c>
      <c r="M750" t="s">
        <v>57</v>
      </c>
      <c r="N750" t="s">
        <v>26</v>
      </c>
      <c r="O750" t="s">
        <v>27</v>
      </c>
      <c r="P750">
        <v>15187.8</v>
      </c>
      <c r="Q750">
        <v>855712.25</v>
      </c>
      <c r="R750" t="s">
        <v>28</v>
      </c>
      <c r="S750" s="1">
        <v>45618</v>
      </c>
    </row>
    <row r="751" spans="1:19" x14ac:dyDescent="0.25">
      <c r="A751" s="5" t="s">
        <v>1539</v>
      </c>
      <c r="B751" s="5" t="s">
        <v>1540</v>
      </c>
      <c r="C751" s="5" t="s">
        <v>31</v>
      </c>
      <c r="D751" s="5">
        <v>38</v>
      </c>
      <c r="E751" s="5" t="s">
        <v>32</v>
      </c>
      <c r="F751" s="5" t="s">
        <v>42</v>
      </c>
      <c r="G751" s="5" t="s">
        <v>24</v>
      </c>
      <c r="H751" s="5">
        <v>291366</v>
      </c>
      <c r="I751">
        <v>682</v>
      </c>
      <c r="J751">
        <v>719878</v>
      </c>
      <c r="K751">
        <v>48</v>
      </c>
      <c r="L751">
        <v>8.75</v>
      </c>
      <c r="M751" t="s">
        <v>57</v>
      </c>
      <c r="N751" t="s">
        <v>26</v>
      </c>
      <c r="O751" t="s">
        <v>27</v>
      </c>
      <c r="P751">
        <v>16309.74</v>
      </c>
      <c r="Q751">
        <v>428279.24</v>
      </c>
      <c r="R751" t="s">
        <v>28</v>
      </c>
      <c r="S751" s="1">
        <v>45772</v>
      </c>
    </row>
    <row r="752" spans="1:19" x14ac:dyDescent="0.25">
      <c r="A752" s="5" t="s">
        <v>1541</v>
      </c>
      <c r="B752" s="5" t="s">
        <v>1542</v>
      </c>
      <c r="C752" s="5" t="s">
        <v>21</v>
      </c>
      <c r="D752" s="5">
        <v>44</v>
      </c>
      <c r="E752" s="5" t="s">
        <v>32</v>
      </c>
      <c r="F752" s="5" t="s">
        <v>23</v>
      </c>
      <c r="G752" s="5" t="s">
        <v>24</v>
      </c>
      <c r="H752" s="5">
        <v>1757901</v>
      </c>
      <c r="I752">
        <v>687</v>
      </c>
      <c r="J752">
        <v>1466279</v>
      </c>
      <c r="K752">
        <v>48</v>
      </c>
      <c r="L752">
        <v>14.29</v>
      </c>
      <c r="M752" t="s">
        <v>54</v>
      </c>
      <c r="N752" t="s">
        <v>26</v>
      </c>
      <c r="O752" t="s">
        <v>27</v>
      </c>
      <c r="P752">
        <v>34912.71</v>
      </c>
      <c r="Q752">
        <v>456219.72</v>
      </c>
      <c r="R752" t="s">
        <v>28</v>
      </c>
      <c r="S752" s="1">
        <v>45984</v>
      </c>
    </row>
    <row r="753" spans="1:19" x14ac:dyDescent="0.25">
      <c r="A753" s="5" t="s">
        <v>1543</v>
      </c>
      <c r="B753" s="5" t="s">
        <v>1544</v>
      </c>
      <c r="C753" s="5" t="s">
        <v>21</v>
      </c>
      <c r="D753" s="5">
        <v>41</v>
      </c>
      <c r="E753" s="5" t="s">
        <v>32</v>
      </c>
      <c r="F753" s="5" t="s">
        <v>23</v>
      </c>
      <c r="G753" s="5" t="s">
        <v>33</v>
      </c>
      <c r="H753" s="5">
        <v>706467</v>
      </c>
      <c r="I753">
        <v>714</v>
      </c>
      <c r="J753">
        <v>571873</v>
      </c>
      <c r="K753">
        <v>48</v>
      </c>
      <c r="L753">
        <v>9.4</v>
      </c>
      <c r="M753" t="s">
        <v>57</v>
      </c>
      <c r="N753" t="s">
        <v>104</v>
      </c>
      <c r="O753" t="s">
        <v>27</v>
      </c>
      <c r="P753">
        <v>13033.94</v>
      </c>
      <c r="Q753">
        <v>263089.01</v>
      </c>
      <c r="R753" t="s">
        <v>28</v>
      </c>
      <c r="S753" s="1">
        <v>45447</v>
      </c>
    </row>
    <row r="754" spans="1:19" x14ac:dyDescent="0.25">
      <c r="A754" s="5" t="s">
        <v>1545</v>
      </c>
      <c r="B754" s="5" t="s">
        <v>1546</v>
      </c>
      <c r="C754" s="5" t="s">
        <v>21</v>
      </c>
      <c r="D754" s="5">
        <v>29</v>
      </c>
      <c r="E754" s="5" t="s">
        <v>32</v>
      </c>
      <c r="F754" s="5" t="s">
        <v>42</v>
      </c>
      <c r="G754" s="5" t="s">
        <v>24</v>
      </c>
      <c r="H754" s="5">
        <v>1307950</v>
      </c>
      <c r="I754">
        <v>640</v>
      </c>
      <c r="J754">
        <v>1670514</v>
      </c>
      <c r="K754">
        <v>84</v>
      </c>
      <c r="L754">
        <v>7.83</v>
      </c>
      <c r="M754" t="s">
        <v>5</v>
      </c>
      <c r="N754" t="s">
        <v>34</v>
      </c>
      <c r="O754" t="s">
        <v>27</v>
      </c>
      <c r="P754">
        <v>21444.23</v>
      </c>
      <c r="Q754">
        <v>297513.71999999997</v>
      </c>
      <c r="R754" t="s">
        <v>28</v>
      </c>
      <c r="S754" s="1">
        <v>45936</v>
      </c>
    </row>
    <row r="755" spans="1:19" x14ac:dyDescent="0.25">
      <c r="A755" s="5" t="s">
        <v>1547</v>
      </c>
      <c r="B755" s="5" t="s">
        <v>1548</v>
      </c>
      <c r="C755" s="5" t="s">
        <v>21</v>
      </c>
      <c r="D755" s="5">
        <v>55</v>
      </c>
      <c r="E755" s="5" t="s">
        <v>32</v>
      </c>
      <c r="F755" s="5" t="s">
        <v>42</v>
      </c>
      <c r="G755" s="5" t="s">
        <v>33</v>
      </c>
      <c r="H755" s="5">
        <v>1984782</v>
      </c>
      <c r="I755">
        <v>567</v>
      </c>
      <c r="J755">
        <v>252802</v>
      </c>
      <c r="K755">
        <v>36</v>
      </c>
      <c r="L755">
        <v>12.18</v>
      </c>
      <c r="M755" t="s">
        <v>43</v>
      </c>
      <c r="N755" t="s">
        <v>104</v>
      </c>
      <c r="O755" t="s">
        <v>27</v>
      </c>
      <c r="P755">
        <v>7877.59</v>
      </c>
      <c r="Q755">
        <v>162899.04999999999</v>
      </c>
      <c r="R755" t="s">
        <v>35</v>
      </c>
      <c r="S755" s="1">
        <v>45946</v>
      </c>
    </row>
    <row r="756" spans="1:19" x14ac:dyDescent="0.25">
      <c r="A756" s="5" t="s">
        <v>1549</v>
      </c>
      <c r="B756" s="5" t="s">
        <v>1550</v>
      </c>
      <c r="C756" s="5" t="s">
        <v>21</v>
      </c>
      <c r="D756" s="5">
        <v>37</v>
      </c>
      <c r="E756" s="5" t="s">
        <v>22</v>
      </c>
      <c r="F756" s="5" t="s">
        <v>42</v>
      </c>
      <c r="G756" s="5" t="s">
        <v>33</v>
      </c>
      <c r="H756" s="5">
        <v>1787740</v>
      </c>
      <c r="I756">
        <v>848</v>
      </c>
      <c r="J756">
        <v>657231</v>
      </c>
      <c r="K756">
        <v>24</v>
      </c>
      <c r="L756">
        <v>10.72</v>
      </c>
      <c r="M756" t="s">
        <v>54</v>
      </c>
      <c r="N756" t="s">
        <v>51</v>
      </c>
      <c r="O756" t="s">
        <v>27</v>
      </c>
      <c r="P756">
        <v>30320.26</v>
      </c>
      <c r="Q756">
        <v>132065.41</v>
      </c>
      <c r="R756" t="s">
        <v>28</v>
      </c>
      <c r="S756" s="1">
        <v>45317</v>
      </c>
    </row>
    <row r="757" spans="1:19" x14ac:dyDescent="0.25">
      <c r="A757" s="5" t="s">
        <v>1551</v>
      </c>
      <c r="B757" s="5" t="s">
        <v>1552</v>
      </c>
      <c r="C757" s="5" t="s">
        <v>21</v>
      </c>
      <c r="D757" s="5">
        <v>31</v>
      </c>
      <c r="E757" s="5" t="s">
        <v>32</v>
      </c>
      <c r="F757" s="5" t="s">
        <v>42</v>
      </c>
      <c r="G757" s="5" t="s">
        <v>24</v>
      </c>
      <c r="H757" s="5">
        <v>998064</v>
      </c>
      <c r="I757">
        <v>648</v>
      </c>
      <c r="J757">
        <v>281927</v>
      </c>
      <c r="K757">
        <v>120</v>
      </c>
      <c r="L757">
        <v>7.73</v>
      </c>
      <c r="M757" t="s">
        <v>57</v>
      </c>
      <c r="N757" t="s">
        <v>51</v>
      </c>
      <c r="O757" t="s">
        <v>39</v>
      </c>
      <c r="P757">
        <v>2531</v>
      </c>
      <c r="Q757">
        <v>280586.17</v>
      </c>
      <c r="R757" t="s">
        <v>28</v>
      </c>
      <c r="S757" s="1">
        <v>45497</v>
      </c>
    </row>
    <row r="758" spans="1:19" x14ac:dyDescent="0.25">
      <c r="A758" s="5" t="s">
        <v>1553</v>
      </c>
      <c r="B758" s="5" t="s">
        <v>1554</v>
      </c>
      <c r="C758" s="5" t="s">
        <v>31</v>
      </c>
      <c r="D758" s="5">
        <v>26</v>
      </c>
      <c r="E758" s="5" t="s">
        <v>32</v>
      </c>
      <c r="F758" s="5" t="s">
        <v>23</v>
      </c>
      <c r="G758" s="5" t="s">
        <v>33</v>
      </c>
      <c r="H758" s="5">
        <v>1696438</v>
      </c>
      <c r="I758">
        <v>710</v>
      </c>
      <c r="J758">
        <v>1064315</v>
      </c>
      <c r="K758">
        <v>12</v>
      </c>
      <c r="L758">
        <v>11.78</v>
      </c>
      <c r="M758" t="s">
        <v>5</v>
      </c>
      <c r="N758" t="s">
        <v>51</v>
      </c>
      <c r="O758" t="s">
        <v>27</v>
      </c>
      <c r="P758">
        <v>99140.94</v>
      </c>
      <c r="Q758">
        <v>422216.26</v>
      </c>
      <c r="R758" t="s">
        <v>28</v>
      </c>
      <c r="S758" s="1">
        <v>45342</v>
      </c>
    </row>
    <row r="759" spans="1:19" x14ac:dyDescent="0.25">
      <c r="A759" s="5" t="s">
        <v>1555</v>
      </c>
      <c r="B759" s="5" t="s">
        <v>1556</v>
      </c>
      <c r="C759" s="5" t="s">
        <v>31</v>
      </c>
      <c r="D759" s="5">
        <v>60</v>
      </c>
      <c r="E759" s="5" t="s">
        <v>22</v>
      </c>
      <c r="F759" s="5" t="s">
        <v>42</v>
      </c>
      <c r="G759" s="5" t="s">
        <v>33</v>
      </c>
      <c r="H759" s="5">
        <v>1905239</v>
      </c>
      <c r="I759">
        <v>591</v>
      </c>
      <c r="J759">
        <v>507935</v>
      </c>
      <c r="K759">
        <v>48</v>
      </c>
      <c r="L759">
        <v>15.41</v>
      </c>
      <c r="M759" t="s">
        <v>57</v>
      </c>
      <c r="N759" t="s">
        <v>44</v>
      </c>
      <c r="O759" t="s">
        <v>27</v>
      </c>
      <c r="P759">
        <v>12212.66</v>
      </c>
      <c r="Q759">
        <v>272350.64</v>
      </c>
      <c r="R759" t="s">
        <v>35</v>
      </c>
      <c r="S759" s="1">
        <v>45568</v>
      </c>
    </row>
    <row r="760" spans="1:19" x14ac:dyDescent="0.25">
      <c r="A760" s="5" t="s">
        <v>1557</v>
      </c>
      <c r="B760" s="5" t="s">
        <v>1558</v>
      </c>
      <c r="C760" s="5" t="s">
        <v>31</v>
      </c>
      <c r="D760" s="5">
        <v>33</v>
      </c>
      <c r="E760" s="5" t="s">
        <v>22</v>
      </c>
      <c r="F760" s="5" t="s">
        <v>23</v>
      </c>
      <c r="G760" s="5" t="s">
        <v>24</v>
      </c>
      <c r="H760" s="5">
        <v>847615</v>
      </c>
      <c r="I760">
        <v>662</v>
      </c>
      <c r="J760">
        <v>764845</v>
      </c>
      <c r="K760">
        <v>12</v>
      </c>
      <c r="L760">
        <v>13.91</v>
      </c>
      <c r="M760" t="s">
        <v>57</v>
      </c>
      <c r="N760" t="s">
        <v>44</v>
      </c>
      <c r="O760" t="s">
        <v>27</v>
      </c>
      <c r="P760">
        <v>72602.91</v>
      </c>
      <c r="Q760">
        <v>617938.21</v>
      </c>
      <c r="R760" t="s">
        <v>28</v>
      </c>
      <c r="S760" s="1">
        <v>45726</v>
      </c>
    </row>
    <row r="761" spans="1:19" x14ac:dyDescent="0.25">
      <c r="A761" s="5" t="s">
        <v>1559</v>
      </c>
      <c r="B761" s="5" t="s">
        <v>1560</v>
      </c>
      <c r="C761" s="5" t="s">
        <v>21</v>
      </c>
      <c r="D761" s="5">
        <v>33</v>
      </c>
      <c r="E761" s="5" t="s">
        <v>22</v>
      </c>
      <c r="F761" s="5" t="s">
        <v>23</v>
      </c>
      <c r="G761" s="5" t="s">
        <v>24</v>
      </c>
      <c r="H761" s="5">
        <v>884259</v>
      </c>
      <c r="I761">
        <v>674</v>
      </c>
      <c r="J761">
        <v>329812</v>
      </c>
      <c r="K761">
        <v>84</v>
      </c>
      <c r="L761">
        <v>14.83</v>
      </c>
      <c r="M761" t="s">
        <v>54</v>
      </c>
      <c r="N761" t="s">
        <v>34</v>
      </c>
      <c r="O761" t="s">
        <v>27</v>
      </c>
      <c r="P761">
        <v>4508.6099999999997</v>
      </c>
      <c r="Q761">
        <v>59655.74</v>
      </c>
      <c r="R761" t="s">
        <v>28</v>
      </c>
      <c r="S761" s="1">
        <v>45309</v>
      </c>
    </row>
    <row r="762" spans="1:19" x14ac:dyDescent="0.25">
      <c r="A762" s="5" t="s">
        <v>1561</v>
      </c>
      <c r="B762" s="5" t="s">
        <v>1562</v>
      </c>
      <c r="C762" s="5" t="s">
        <v>21</v>
      </c>
      <c r="D762" s="5">
        <v>26</v>
      </c>
      <c r="E762" s="5" t="s">
        <v>32</v>
      </c>
      <c r="F762" s="5" t="s">
        <v>23</v>
      </c>
      <c r="G762" s="5" t="s">
        <v>33</v>
      </c>
      <c r="H762" s="5">
        <v>1150501</v>
      </c>
      <c r="I762">
        <v>672</v>
      </c>
      <c r="J762">
        <v>745152</v>
      </c>
      <c r="K762">
        <v>36</v>
      </c>
      <c r="L762">
        <v>8.93</v>
      </c>
      <c r="M762" t="s">
        <v>43</v>
      </c>
      <c r="N762" t="s">
        <v>38</v>
      </c>
      <c r="O762" t="s">
        <v>27</v>
      </c>
      <c r="P762">
        <v>22547.06</v>
      </c>
      <c r="Q762">
        <v>553556.56000000006</v>
      </c>
      <c r="R762" t="s">
        <v>28</v>
      </c>
      <c r="S762" s="1">
        <v>45718</v>
      </c>
    </row>
    <row r="763" spans="1:19" x14ac:dyDescent="0.25">
      <c r="A763" s="5" t="s">
        <v>1563</v>
      </c>
      <c r="B763" s="5" t="s">
        <v>1564</v>
      </c>
      <c r="C763" s="5" t="s">
        <v>21</v>
      </c>
      <c r="D763" s="5">
        <v>32</v>
      </c>
      <c r="E763" s="5" t="s">
        <v>32</v>
      </c>
      <c r="F763" s="5" t="s">
        <v>23</v>
      </c>
      <c r="G763" s="5" t="s">
        <v>33</v>
      </c>
      <c r="H763" s="5">
        <v>1266885</v>
      </c>
      <c r="I763">
        <v>683</v>
      </c>
      <c r="J763">
        <v>1479923</v>
      </c>
      <c r="K763">
        <v>12</v>
      </c>
      <c r="L763">
        <v>14.13</v>
      </c>
      <c r="M763" t="s">
        <v>57</v>
      </c>
      <c r="N763" t="s">
        <v>34</v>
      </c>
      <c r="O763" t="s">
        <v>27</v>
      </c>
      <c r="P763">
        <v>140753.01</v>
      </c>
      <c r="Q763">
        <v>1281786.2</v>
      </c>
      <c r="R763" t="s">
        <v>28</v>
      </c>
      <c r="S763" s="1">
        <v>45474</v>
      </c>
    </row>
    <row r="764" spans="1:19" x14ac:dyDescent="0.25">
      <c r="A764" s="5" t="s">
        <v>1565</v>
      </c>
      <c r="B764" s="5" t="s">
        <v>1566</v>
      </c>
      <c r="C764" s="5" t="s">
        <v>31</v>
      </c>
      <c r="D764" s="5">
        <v>54</v>
      </c>
      <c r="E764" s="5" t="s">
        <v>32</v>
      </c>
      <c r="F764" s="5" t="s">
        <v>23</v>
      </c>
      <c r="G764" s="5" t="s">
        <v>33</v>
      </c>
      <c r="H764" s="5">
        <v>762645</v>
      </c>
      <c r="I764">
        <v>804</v>
      </c>
      <c r="J764">
        <v>180760</v>
      </c>
      <c r="K764">
        <v>180</v>
      </c>
      <c r="L764">
        <v>8.25</v>
      </c>
      <c r="M764" t="s">
        <v>5</v>
      </c>
      <c r="N764" t="s">
        <v>34</v>
      </c>
      <c r="O764" t="s">
        <v>27</v>
      </c>
      <c r="P764">
        <v>1087.07</v>
      </c>
      <c r="Q764">
        <v>175911.03</v>
      </c>
      <c r="R764" t="s">
        <v>28</v>
      </c>
      <c r="S764" s="1">
        <v>45696</v>
      </c>
    </row>
    <row r="765" spans="1:19" x14ac:dyDescent="0.25">
      <c r="A765" s="5" t="s">
        <v>1567</v>
      </c>
      <c r="B765" s="5" t="s">
        <v>1568</v>
      </c>
      <c r="C765" s="5" t="s">
        <v>21</v>
      </c>
      <c r="D765" s="5">
        <v>26</v>
      </c>
      <c r="E765" s="5" t="s">
        <v>32</v>
      </c>
      <c r="F765" s="5" t="s">
        <v>42</v>
      </c>
      <c r="G765" s="5" t="s">
        <v>33</v>
      </c>
      <c r="H765" s="5">
        <v>564851</v>
      </c>
      <c r="I765">
        <v>710</v>
      </c>
      <c r="J765">
        <v>1439780</v>
      </c>
      <c r="K765">
        <v>12</v>
      </c>
      <c r="L765">
        <v>8.0399999999999991</v>
      </c>
      <c r="M765" t="s">
        <v>5</v>
      </c>
      <c r="N765" t="s">
        <v>44</v>
      </c>
      <c r="O765" t="s">
        <v>27</v>
      </c>
      <c r="P765">
        <v>129628.19</v>
      </c>
      <c r="Q765">
        <v>611385.73</v>
      </c>
      <c r="R765" t="s">
        <v>28</v>
      </c>
      <c r="S765" s="1">
        <v>45762</v>
      </c>
    </row>
    <row r="766" spans="1:19" x14ac:dyDescent="0.25">
      <c r="A766" s="5" t="s">
        <v>1569</v>
      </c>
      <c r="B766" s="5" t="s">
        <v>1570</v>
      </c>
      <c r="C766" s="5" t="s">
        <v>31</v>
      </c>
      <c r="D766" s="5">
        <v>41</v>
      </c>
      <c r="E766" s="5" t="s">
        <v>22</v>
      </c>
      <c r="F766" s="5" t="s">
        <v>42</v>
      </c>
      <c r="G766" s="5" t="s">
        <v>33</v>
      </c>
      <c r="H766" s="5">
        <v>610672</v>
      </c>
      <c r="I766">
        <v>571</v>
      </c>
      <c r="J766">
        <v>1550148</v>
      </c>
      <c r="K766">
        <v>48</v>
      </c>
      <c r="L766">
        <v>9.66</v>
      </c>
      <c r="M766" t="s">
        <v>5</v>
      </c>
      <c r="N766" t="s">
        <v>38</v>
      </c>
      <c r="O766" t="s">
        <v>39</v>
      </c>
      <c r="P766">
        <v>35414.42</v>
      </c>
      <c r="Q766">
        <v>1388589.17</v>
      </c>
      <c r="R766" t="s">
        <v>28</v>
      </c>
      <c r="S766" s="1">
        <v>45751</v>
      </c>
    </row>
    <row r="767" spans="1:19" x14ac:dyDescent="0.25">
      <c r="A767" s="5" t="s">
        <v>1571</v>
      </c>
      <c r="B767" s="5" t="s">
        <v>1572</v>
      </c>
      <c r="C767" s="5" t="s">
        <v>21</v>
      </c>
      <c r="D767" s="5">
        <v>42</v>
      </c>
      <c r="E767" s="5" t="s">
        <v>22</v>
      </c>
      <c r="F767" s="5" t="s">
        <v>23</v>
      </c>
      <c r="G767" s="5" t="s">
        <v>33</v>
      </c>
      <c r="H767" s="5">
        <v>1813512</v>
      </c>
      <c r="I767">
        <v>732</v>
      </c>
      <c r="J767">
        <v>929522</v>
      </c>
      <c r="K767">
        <v>24</v>
      </c>
      <c r="L767">
        <v>7.8</v>
      </c>
      <c r="M767" t="s">
        <v>54</v>
      </c>
      <c r="N767" t="s">
        <v>44</v>
      </c>
      <c r="O767" t="s">
        <v>27</v>
      </c>
      <c r="P767">
        <v>41751.03</v>
      </c>
      <c r="Q767">
        <v>289511.03000000003</v>
      </c>
      <c r="R767" t="s">
        <v>28</v>
      </c>
      <c r="S767" s="1">
        <v>46001</v>
      </c>
    </row>
    <row r="768" spans="1:19" x14ac:dyDescent="0.25">
      <c r="A768" s="5" t="s">
        <v>1573</v>
      </c>
      <c r="B768" s="5" t="s">
        <v>1574</v>
      </c>
      <c r="C768" s="5" t="s">
        <v>21</v>
      </c>
      <c r="D768" s="5">
        <v>46</v>
      </c>
      <c r="E768" s="5" t="s">
        <v>22</v>
      </c>
      <c r="F768" s="5" t="s">
        <v>42</v>
      </c>
      <c r="G768" s="5" t="s">
        <v>33</v>
      </c>
      <c r="H768" s="5">
        <v>1292056</v>
      </c>
      <c r="I768">
        <v>678</v>
      </c>
      <c r="J768">
        <v>962877</v>
      </c>
      <c r="K768">
        <v>84</v>
      </c>
      <c r="L768">
        <v>8.35</v>
      </c>
      <c r="M768" t="s">
        <v>57</v>
      </c>
      <c r="N768" t="s">
        <v>26</v>
      </c>
      <c r="O768" t="s">
        <v>27</v>
      </c>
      <c r="P768">
        <v>12419.97</v>
      </c>
      <c r="Q768">
        <v>879364.68</v>
      </c>
      <c r="R768" t="s">
        <v>28</v>
      </c>
      <c r="S768" s="1">
        <v>45572</v>
      </c>
    </row>
    <row r="769" spans="1:19" x14ac:dyDescent="0.25">
      <c r="A769" s="5" t="s">
        <v>1575</v>
      </c>
      <c r="B769" s="5" t="s">
        <v>1576</v>
      </c>
      <c r="C769" s="5" t="s">
        <v>21</v>
      </c>
      <c r="D769" s="5">
        <v>51</v>
      </c>
      <c r="E769" s="5" t="s">
        <v>32</v>
      </c>
      <c r="F769" s="5" t="s">
        <v>23</v>
      </c>
      <c r="G769" s="5" t="s">
        <v>33</v>
      </c>
      <c r="H769" s="5">
        <v>1629756</v>
      </c>
      <c r="I769">
        <v>588</v>
      </c>
      <c r="J769">
        <v>699155</v>
      </c>
      <c r="K769">
        <v>120</v>
      </c>
      <c r="L769">
        <v>14.13</v>
      </c>
      <c r="M769" t="s">
        <v>5</v>
      </c>
      <c r="N769" t="s">
        <v>104</v>
      </c>
      <c r="O769" t="s">
        <v>39</v>
      </c>
      <c r="P769">
        <v>6649.55</v>
      </c>
      <c r="Q769">
        <v>389157.14</v>
      </c>
      <c r="R769" t="s">
        <v>28</v>
      </c>
      <c r="S769" s="1">
        <v>45765</v>
      </c>
    </row>
    <row r="770" spans="1:19" x14ac:dyDescent="0.25">
      <c r="A770" s="5" t="s">
        <v>1577</v>
      </c>
      <c r="B770" s="5" t="s">
        <v>1578</v>
      </c>
      <c r="C770" s="5" t="s">
        <v>31</v>
      </c>
      <c r="D770" s="5">
        <v>58</v>
      </c>
      <c r="E770" s="5" t="s">
        <v>22</v>
      </c>
      <c r="F770" s="5" t="s">
        <v>42</v>
      </c>
      <c r="G770" s="5" t="s">
        <v>33</v>
      </c>
      <c r="H770" s="5">
        <v>1918199</v>
      </c>
      <c r="I770">
        <v>729</v>
      </c>
      <c r="J770">
        <v>289746</v>
      </c>
      <c r="K770">
        <v>120</v>
      </c>
      <c r="L770">
        <v>11.5</v>
      </c>
      <c r="M770" t="s">
        <v>57</v>
      </c>
      <c r="N770" t="s">
        <v>26</v>
      </c>
      <c r="O770" t="s">
        <v>27</v>
      </c>
      <c r="P770">
        <v>2692.22</v>
      </c>
      <c r="Q770">
        <v>202383.87</v>
      </c>
      <c r="R770" t="s">
        <v>28</v>
      </c>
      <c r="S770" s="1">
        <v>45672</v>
      </c>
    </row>
    <row r="771" spans="1:19" x14ac:dyDescent="0.25">
      <c r="A771" s="5" t="s">
        <v>1579</v>
      </c>
      <c r="B771" s="5" t="s">
        <v>1580</v>
      </c>
      <c r="C771" s="5" t="s">
        <v>31</v>
      </c>
      <c r="D771" s="5">
        <v>50</v>
      </c>
      <c r="E771" s="5" t="s">
        <v>22</v>
      </c>
      <c r="F771" s="5" t="s">
        <v>23</v>
      </c>
      <c r="G771" s="5" t="s">
        <v>33</v>
      </c>
      <c r="H771" s="5">
        <v>1024157</v>
      </c>
      <c r="I771">
        <v>784</v>
      </c>
      <c r="J771">
        <v>813740</v>
      </c>
      <c r="K771">
        <v>12</v>
      </c>
      <c r="L771">
        <v>14.71</v>
      </c>
      <c r="M771" t="s">
        <v>54</v>
      </c>
      <c r="N771" t="s">
        <v>104</v>
      </c>
      <c r="O771" t="s">
        <v>27</v>
      </c>
      <c r="P771">
        <v>77786.759999999995</v>
      </c>
      <c r="Q771">
        <v>598354.79</v>
      </c>
      <c r="R771" t="s">
        <v>28</v>
      </c>
      <c r="S771" s="1">
        <v>45685</v>
      </c>
    </row>
    <row r="772" spans="1:19" x14ac:dyDescent="0.25">
      <c r="A772" s="5" t="s">
        <v>1581</v>
      </c>
      <c r="B772" s="5" t="s">
        <v>1582</v>
      </c>
      <c r="C772" s="5" t="s">
        <v>21</v>
      </c>
      <c r="D772" s="5">
        <v>24</v>
      </c>
      <c r="E772" s="5" t="s">
        <v>32</v>
      </c>
      <c r="F772" s="5" t="s">
        <v>42</v>
      </c>
      <c r="G772" s="5" t="s">
        <v>33</v>
      </c>
      <c r="H772" s="5">
        <v>994648</v>
      </c>
      <c r="I772">
        <v>843</v>
      </c>
      <c r="J772">
        <v>280297</v>
      </c>
      <c r="K772">
        <v>84</v>
      </c>
      <c r="L772">
        <v>7.86</v>
      </c>
      <c r="M772" t="s">
        <v>5</v>
      </c>
      <c r="N772" t="s">
        <v>26</v>
      </c>
      <c r="O772" t="s">
        <v>27</v>
      </c>
      <c r="P772">
        <v>3599.15</v>
      </c>
      <c r="Q772">
        <v>203101.98</v>
      </c>
      <c r="R772" t="s">
        <v>28</v>
      </c>
      <c r="S772" s="1">
        <v>45585</v>
      </c>
    </row>
    <row r="773" spans="1:19" x14ac:dyDescent="0.25">
      <c r="A773" s="5" t="s">
        <v>1583</v>
      </c>
      <c r="B773" s="5" t="s">
        <v>1584</v>
      </c>
      <c r="C773" s="5" t="s">
        <v>31</v>
      </c>
      <c r="D773" s="5">
        <v>24</v>
      </c>
      <c r="E773" s="5" t="s">
        <v>22</v>
      </c>
      <c r="F773" s="5" t="s">
        <v>23</v>
      </c>
      <c r="G773" s="5" t="s">
        <v>33</v>
      </c>
      <c r="H773" s="5">
        <v>1997103</v>
      </c>
      <c r="I773">
        <v>819</v>
      </c>
      <c r="J773">
        <v>281121</v>
      </c>
      <c r="K773">
        <v>48</v>
      </c>
      <c r="L773">
        <v>13.22</v>
      </c>
      <c r="M773" t="s">
        <v>43</v>
      </c>
      <c r="N773" t="s">
        <v>38</v>
      </c>
      <c r="O773" t="s">
        <v>27</v>
      </c>
      <c r="P773">
        <v>6630.94</v>
      </c>
      <c r="Q773">
        <v>232588.58</v>
      </c>
      <c r="R773" t="s">
        <v>28</v>
      </c>
      <c r="S773" s="1">
        <v>45331</v>
      </c>
    </row>
    <row r="774" spans="1:19" x14ac:dyDescent="0.25">
      <c r="A774" s="5" t="s">
        <v>1585</v>
      </c>
      <c r="B774" s="5" t="s">
        <v>1586</v>
      </c>
      <c r="C774" s="5" t="s">
        <v>21</v>
      </c>
      <c r="D774" s="5">
        <v>52</v>
      </c>
      <c r="E774" s="5" t="s">
        <v>22</v>
      </c>
      <c r="F774" s="5" t="s">
        <v>23</v>
      </c>
      <c r="G774" s="5" t="s">
        <v>33</v>
      </c>
      <c r="H774" s="5">
        <v>1283081</v>
      </c>
      <c r="I774">
        <v>692</v>
      </c>
      <c r="J774">
        <v>1545794</v>
      </c>
      <c r="K774">
        <v>240</v>
      </c>
      <c r="L774">
        <v>10.94</v>
      </c>
      <c r="M774" t="s">
        <v>25</v>
      </c>
      <c r="N774" t="s">
        <v>44</v>
      </c>
      <c r="O774" t="s">
        <v>27</v>
      </c>
      <c r="P774">
        <v>7145.43</v>
      </c>
      <c r="Q774">
        <v>1539966.36</v>
      </c>
      <c r="R774" t="s">
        <v>28</v>
      </c>
      <c r="S774" s="1">
        <v>45406</v>
      </c>
    </row>
    <row r="775" spans="1:19" x14ac:dyDescent="0.25">
      <c r="A775" s="5" t="s">
        <v>1587</v>
      </c>
      <c r="B775" s="5" t="s">
        <v>1588</v>
      </c>
      <c r="C775" s="5" t="s">
        <v>21</v>
      </c>
      <c r="D775" s="5">
        <v>36</v>
      </c>
      <c r="E775" s="5" t="s">
        <v>32</v>
      </c>
      <c r="F775" s="5" t="s">
        <v>42</v>
      </c>
      <c r="G775" s="5" t="s">
        <v>33</v>
      </c>
      <c r="H775" s="5">
        <v>1975960</v>
      </c>
      <c r="I775">
        <v>695</v>
      </c>
      <c r="J775">
        <v>1830311</v>
      </c>
      <c r="K775">
        <v>120</v>
      </c>
      <c r="L775">
        <v>12.97</v>
      </c>
      <c r="M775" t="s">
        <v>43</v>
      </c>
      <c r="N775" t="s">
        <v>34</v>
      </c>
      <c r="O775" t="s">
        <v>27</v>
      </c>
      <c r="P775">
        <v>17230.849999999999</v>
      </c>
      <c r="Q775">
        <v>958948.75</v>
      </c>
      <c r="R775" t="s">
        <v>28</v>
      </c>
      <c r="S775" s="1">
        <v>45822</v>
      </c>
    </row>
    <row r="776" spans="1:19" x14ac:dyDescent="0.25">
      <c r="A776" s="5" t="s">
        <v>1589</v>
      </c>
      <c r="B776" s="5" t="s">
        <v>1590</v>
      </c>
      <c r="C776" s="5" t="s">
        <v>21</v>
      </c>
      <c r="D776" s="5">
        <v>57</v>
      </c>
      <c r="E776" s="5" t="s">
        <v>22</v>
      </c>
      <c r="F776" s="5" t="s">
        <v>42</v>
      </c>
      <c r="G776" s="5" t="s">
        <v>33</v>
      </c>
      <c r="H776" s="5">
        <v>1829786</v>
      </c>
      <c r="I776">
        <v>726</v>
      </c>
      <c r="J776">
        <v>957828</v>
      </c>
      <c r="K776">
        <v>48</v>
      </c>
      <c r="L776">
        <v>8.23</v>
      </c>
      <c r="M776" t="s">
        <v>43</v>
      </c>
      <c r="N776" t="s">
        <v>44</v>
      </c>
      <c r="O776" t="s">
        <v>27</v>
      </c>
      <c r="P776">
        <v>21597.03</v>
      </c>
      <c r="Q776">
        <v>488055.58</v>
      </c>
      <c r="R776" t="s">
        <v>28</v>
      </c>
      <c r="S776" s="1">
        <v>45721</v>
      </c>
    </row>
    <row r="777" spans="1:19" x14ac:dyDescent="0.25">
      <c r="A777" s="5" t="s">
        <v>1591</v>
      </c>
      <c r="B777" s="5" t="s">
        <v>1592</v>
      </c>
      <c r="C777" s="5" t="s">
        <v>31</v>
      </c>
      <c r="D777" s="5">
        <v>21</v>
      </c>
      <c r="E777" s="5" t="s">
        <v>32</v>
      </c>
      <c r="F777" s="5" t="s">
        <v>42</v>
      </c>
      <c r="G777" s="5" t="s">
        <v>24</v>
      </c>
      <c r="H777" s="5">
        <v>848119</v>
      </c>
      <c r="I777">
        <v>606</v>
      </c>
      <c r="J777">
        <v>604577</v>
      </c>
      <c r="K777">
        <v>240</v>
      </c>
      <c r="L777">
        <v>9.3699999999999992</v>
      </c>
      <c r="M777" t="s">
        <v>5</v>
      </c>
      <c r="N777" t="s">
        <v>34</v>
      </c>
      <c r="O777" t="s">
        <v>27</v>
      </c>
      <c r="P777">
        <v>2755.11</v>
      </c>
      <c r="Q777">
        <v>603686.46</v>
      </c>
      <c r="R777" t="s">
        <v>28</v>
      </c>
      <c r="S777" s="1">
        <v>45477</v>
      </c>
    </row>
    <row r="778" spans="1:19" x14ac:dyDescent="0.25">
      <c r="A778" s="5" t="s">
        <v>1593</v>
      </c>
      <c r="B778" s="5" t="s">
        <v>1594</v>
      </c>
      <c r="C778" s="5" t="s">
        <v>31</v>
      </c>
      <c r="D778" s="5">
        <v>21</v>
      </c>
      <c r="E778" s="5" t="s">
        <v>22</v>
      </c>
      <c r="F778" s="5" t="s">
        <v>42</v>
      </c>
      <c r="G778" s="5" t="s">
        <v>24</v>
      </c>
      <c r="H778" s="5">
        <v>470271</v>
      </c>
      <c r="I778">
        <v>586</v>
      </c>
      <c r="J778">
        <v>574078</v>
      </c>
      <c r="K778">
        <v>240</v>
      </c>
      <c r="L778">
        <v>15.45</v>
      </c>
      <c r="M778" t="s">
        <v>54</v>
      </c>
      <c r="N778" t="s">
        <v>34</v>
      </c>
      <c r="O778" t="s">
        <v>39</v>
      </c>
      <c r="P778">
        <v>2761.55</v>
      </c>
      <c r="Q778">
        <v>164144.95999999999</v>
      </c>
      <c r="R778" t="s">
        <v>28</v>
      </c>
      <c r="S778" s="1">
        <v>45870</v>
      </c>
    </row>
    <row r="779" spans="1:19" x14ac:dyDescent="0.25">
      <c r="A779" s="5" t="s">
        <v>1595</v>
      </c>
      <c r="B779" s="5" t="s">
        <v>1596</v>
      </c>
      <c r="C779" s="5" t="s">
        <v>21</v>
      </c>
      <c r="D779" s="5">
        <v>36</v>
      </c>
      <c r="E779" s="5" t="s">
        <v>22</v>
      </c>
      <c r="F779" s="5" t="s">
        <v>23</v>
      </c>
      <c r="G779" s="5" t="s">
        <v>24</v>
      </c>
      <c r="H779" s="5">
        <v>1751646</v>
      </c>
      <c r="I779">
        <v>722</v>
      </c>
      <c r="J779">
        <v>1752135</v>
      </c>
      <c r="K779">
        <v>24</v>
      </c>
      <c r="L779">
        <v>12.17</v>
      </c>
      <c r="M779" t="s">
        <v>57</v>
      </c>
      <c r="N779" t="s">
        <v>38</v>
      </c>
      <c r="O779" t="s">
        <v>27</v>
      </c>
      <c r="P779">
        <v>81890.41</v>
      </c>
      <c r="Q779">
        <v>264393.21000000002</v>
      </c>
      <c r="R779" t="s">
        <v>28</v>
      </c>
      <c r="S779" s="1">
        <v>45844</v>
      </c>
    </row>
    <row r="780" spans="1:19" x14ac:dyDescent="0.25">
      <c r="A780" s="5" t="s">
        <v>1597</v>
      </c>
      <c r="B780" s="5" t="s">
        <v>1598</v>
      </c>
      <c r="C780" s="5" t="s">
        <v>31</v>
      </c>
      <c r="D780" s="5">
        <v>23</v>
      </c>
      <c r="E780" s="5" t="s">
        <v>22</v>
      </c>
      <c r="F780" s="5" t="s">
        <v>42</v>
      </c>
      <c r="G780" s="5" t="s">
        <v>33</v>
      </c>
      <c r="H780" s="5">
        <v>389849</v>
      </c>
      <c r="I780">
        <v>797</v>
      </c>
      <c r="J780">
        <v>1193191</v>
      </c>
      <c r="K780">
        <v>60</v>
      </c>
      <c r="L780">
        <v>11.93</v>
      </c>
      <c r="M780" t="s">
        <v>25</v>
      </c>
      <c r="N780" t="s">
        <v>51</v>
      </c>
      <c r="O780" t="s">
        <v>27</v>
      </c>
      <c r="P780">
        <v>22258.98</v>
      </c>
      <c r="Q780">
        <v>232782.44</v>
      </c>
      <c r="R780" t="s">
        <v>28</v>
      </c>
      <c r="S780" s="1">
        <v>45933</v>
      </c>
    </row>
    <row r="781" spans="1:19" x14ac:dyDescent="0.25">
      <c r="A781" s="5" t="s">
        <v>1599</v>
      </c>
      <c r="B781" s="5" t="s">
        <v>1600</v>
      </c>
      <c r="C781" s="5" t="s">
        <v>31</v>
      </c>
      <c r="D781" s="5">
        <v>58</v>
      </c>
      <c r="E781" s="5" t="s">
        <v>22</v>
      </c>
      <c r="F781" s="5" t="s">
        <v>23</v>
      </c>
      <c r="G781" s="5" t="s">
        <v>33</v>
      </c>
      <c r="H781" s="5">
        <v>846504</v>
      </c>
      <c r="I781">
        <v>802</v>
      </c>
      <c r="J781">
        <v>1493284</v>
      </c>
      <c r="K781">
        <v>60</v>
      </c>
      <c r="L781">
        <v>7.78</v>
      </c>
      <c r="M781" t="s">
        <v>5</v>
      </c>
      <c r="N781" t="s">
        <v>34</v>
      </c>
      <c r="O781" t="s">
        <v>27</v>
      </c>
      <c r="P781">
        <v>26824.36</v>
      </c>
      <c r="Q781">
        <v>1165569.25</v>
      </c>
      <c r="R781" t="s">
        <v>28</v>
      </c>
      <c r="S781" s="1">
        <v>45957</v>
      </c>
    </row>
    <row r="782" spans="1:19" x14ac:dyDescent="0.25">
      <c r="A782" s="5" t="s">
        <v>1601</v>
      </c>
      <c r="B782" s="5" t="s">
        <v>1602</v>
      </c>
      <c r="C782" s="5" t="s">
        <v>31</v>
      </c>
      <c r="D782" s="5">
        <v>51</v>
      </c>
      <c r="E782" s="5" t="s">
        <v>22</v>
      </c>
      <c r="F782" s="5" t="s">
        <v>42</v>
      </c>
      <c r="G782" s="5" t="s">
        <v>33</v>
      </c>
      <c r="H782" s="5">
        <v>493157</v>
      </c>
      <c r="I782">
        <v>618</v>
      </c>
      <c r="J782">
        <v>1538580</v>
      </c>
      <c r="K782">
        <v>120</v>
      </c>
      <c r="L782">
        <v>13.61</v>
      </c>
      <c r="M782" t="s">
        <v>57</v>
      </c>
      <c r="N782" t="s">
        <v>104</v>
      </c>
      <c r="O782" t="s">
        <v>27</v>
      </c>
      <c r="P782">
        <v>14566.51</v>
      </c>
      <c r="Q782">
        <v>1511126.14</v>
      </c>
      <c r="R782" t="s">
        <v>35</v>
      </c>
      <c r="S782" s="1">
        <v>45461</v>
      </c>
    </row>
    <row r="783" spans="1:19" x14ac:dyDescent="0.25">
      <c r="A783" s="5" t="s">
        <v>1603</v>
      </c>
      <c r="B783" s="5" t="s">
        <v>1604</v>
      </c>
      <c r="C783" s="5" t="s">
        <v>21</v>
      </c>
      <c r="D783" s="5">
        <v>58</v>
      </c>
      <c r="E783" s="5" t="s">
        <v>32</v>
      </c>
      <c r="F783" s="5" t="s">
        <v>42</v>
      </c>
      <c r="G783" s="5" t="s">
        <v>24</v>
      </c>
      <c r="H783" s="5">
        <v>1728254</v>
      </c>
      <c r="I783">
        <v>840</v>
      </c>
      <c r="J783">
        <v>1903575</v>
      </c>
      <c r="K783">
        <v>84</v>
      </c>
      <c r="L783">
        <v>11.31</v>
      </c>
      <c r="M783" t="s">
        <v>5</v>
      </c>
      <c r="N783" t="s">
        <v>26</v>
      </c>
      <c r="O783" t="s">
        <v>27</v>
      </c>
      <c r="P783">
        <v>25224.63</v>
      </c>
      <c r="Q783">
        <v>1654275.01</v>
      </c>
      <c r="R783" t="s">
        <v>28</v>
      </c>
      <c r="S783" s="1">
        <v>45953</v>
      </c>
    </row>
    <row r="784" spans="1:19" x14ac:dyDescent="0.25">
      <c r="A784" s="5" t="s">
        <v>1605</v>
      </c>
      <c r="B784" s="5" t="s">
        <v>1606</v>
      </c>
      <c r="C784" s="5" t="s">
        <v>21</v>
      </c>
      <c r="D784" s="5">
        <v>59</v>
      </c>
      <c r="E784" s="5" t="s">
        <v>22</v>
      </c>
      <c r="F784" s="5" t="s">
        <v>23</v>
      </c>
      <c r="G784" s="5" t="s">
        <v>24</v>
      </c>
      <c r="H784" s="5">
        <v>1028838</v>
      </c>
      <c r="I784">
        <v>840</v>
      </c>
      <c r="J784">
        <v>1614239</v>
      </c>
      <c r="K784">
        <v>12</v>
      </c>
      <c r="L784">
        <v>12.92</v>
      </c>
      <c r="M784" t="s">
        <v>54</v>
      </c>
      <c r="N784" t="s">
        <v>51</v>
      </c>
      <c r="O784" t="s">
        <v>27</v>
      </c>
      <c r="P784">
        <v>151899.89000000001</v>
      </c>
      <c r="Q784">
        <v>482165.59</v>
      </c>
      <c r="R784" t="s">
        <v>28</v>
      </c>
      <c r="S784" s="1">
        <v>45293</v>
      </c>
    </row>
    <row r="785" spans="1:19" x14ac:dyDescent="0.25">
      <c r="A785" s="5" t="s">
        <v>1607</v>
      </c>
      <c r="B785" s="5" t="s">
        <v>1608</v>
      </c>
      <c r="C785" s="5" t="s">
        <v>31</v>
      </c>
      <c r="D785" s="5">
        <v>43</v>
      </c>
      <c r="E785" s="5" t="s">
        <v>32</v>
      </c>
      <c r="F785" s="5" t="s">
        <v>42</v>
      </c>
      <c r="G785" s="5" t="s">
        <v>33</v>
      </c>
      <c r="H785" s="5">
        <v>1477893</v>
      </c>
      <c r="I785">
        <v>848</v>
      </c>
      <c r="J785">
        <v>241526</v>
      </c>
      <c r="K785">
        <v>120</v>
      </c>
      <c r="L785">
        <v>15.43</v>
      </c>
      <c r="M785" t="s">
        <v>5</v>
      </c>
      <c r="N785" t="s">
        <v>44</v>
      </c>
      <c r="O785" t="s">
        <v>27</v>
      </c>
      <c r="P785">
        <v>2323.2800000000002</v>
      </c>
      <c r="Q785">
        <v>129979.97</v>
      </c>
      <c r="R785" t="s">
        <v>28</v>
      </c>
      <c r="S785" s="1">
        <v>45457</v>
      </c>
    </row>
    <row r="786" spans="1:19" x14ac:dyDescent="0.25">
      <c r="A786" s="5" t="s">
        <v>1609</v>
      </c>
      <c r="B786" s="5" t="s">
        <v>1610</v>
      </c>
      <c r="C786" s="5" t="s">
        <v>31</v>
      </c>
      <c r="D786" s="5">
        <v>60</v>
      </c>
      <c r="E786" s="5" t="s">
        <v>22</v>
      </c>
      <c r="F786" s="5" t="s">
        <v>42</v>
      </c>
      <c r="G786" s="5" t="s">
        <v>24</v>
      </c>
      <c r="H786" s="5">
        <v>1782323</v>
      </c>
      <c r="I786">
        <v>628</v>
      </c>
      <c r="J786">
        <v>1230736</v>
      </c>
      <c r="K786">
        <v>84</v>
      </c>
      <c r="L786">
        <v>14.43</v>
      </c>
      <c r="M786" t="s">
        <v>54</v>
      </c>
      <c r="N786" t="s">
        <v>44</v>
      </c>
      <c r="O786" t="s">
        <v>39</v>
      </c>
      <c r="P786">
        <v>16765.849999999999</v>
      </c>
      <c r="Q786">
        <v>329588.57</v>
      </c>
      <c r="R786" t="s">
        <v>28</v>
      </c>
      <c r="S786" s="1">
        <v>45902</v>
      </c>
    </row>
    <row r="787" spans="1:19" x14ac:dyDescent="0.25">
      <c r="A787" s="5" t="s">
        <v>1611</v>
      </c>
      <c r="B787" s="5" t="s">
        <v>1612</v>
      </c>
      <c r="C787" s="5" t="s">
        <v>31</v>
      </c>
      <c r="D787" s="5">
        <v>26</v>
      </c>
      <c r="E787" s="5" t="s">
        <v>22</v>
      </c>
      <c r="F787" s="5" t="s">
        <v>42</v>
      </c>
      <c r="G787" s="5" t="s">
        <v>24</v>
      </c>
      <c r="H787" s="5">
        <v>1180802</v>
      </c>
      <c r="I787">
        <v>663</v>
      </c>
      <c r="J787">
        <v>433254</v>
      </c>
      <c r="K787">
        <v>180</v>
      </c>
      <c r="L787">
        <v>7.63</v>
      </c>
      <c r="M787" t="s">
        <v>57</v>
      </c>
      <c r="N787" t="s">
        <v>104</v>
      </c>
      <c r="O787" t="s">
        <v>27</v>
      </c>
      <c r="P787">
        <v>2590.62</v>
      </c>
      <c r="Q787">
        <v>389998.77</v>
      </c>
      <c r="R787" t="s">
        <v>28</v>
      </c>
      <c r="S787" s="1">
        <v>45891</v>
      </c>
    </row>
    <row r="788" spans="1:19" x14ac:dyDescent="0.25">
      <c r="A788" s="5" t="s">
        <v>1613</v>
      </c>
      <c r="B788" s="5" t="s">
        <v>1614</v>
      </c>
      <c r="C788" s="5" t="s">
        <v>21</v>
      </c>
      <c r="D788" s="5">
        <v>53</v>
      </c>
      <c r="E788" s="5" t="s">
        <v>32</v>
      </c>
      <c r="F788" s="5" t="s">
        <v>23</v>
      </c>
      <c r="G788" s="5" t="s">
        <v>33</v>
      </c>
      <c r="H788" s="5">
        <v>1224211</v>
      </c>
      <c r="I788">
        <v>751</v>
      </c>
      <c r="J788">
        <v>1070775</v>
      </c>
      <c r="K788">
        <v>48</v>
      </c>
      <c r="L788">
        <v>12.08</v>
      </c>
      <c r="M788" t="s">
        <v>54</v>
      </c>
      <c r="N788" t="s">
        <v>51</v>
      </c>
      <c r="O788" t="s">
        <v>27</v>
      </c>
      <c r="P788">
        <v>25002.6</v>
      </c>
      <c r="Q788">
        <v>172869.66</v>
      </c>
      <c r="R788" t="s">
        <v>28</v>
      </c>
      <c r="S788" s="1">
        <v>45873</v>
      </c>
    </row>
    <row r="789" spans="1:19" x14ac:dyDescent="0.25">
      <c r="A789" s="5" t="s">
        <v>1615</v>
      </c>
      <c r="B789" s="5" t="s">
        <v>1616</v>
      </c>
      <c r="C789" s="5" t="s">
        <v>21</v>
      </c>
      <c r="D789" s="5">
        <v>25</v>
      </c>
      <c r="E789" s="5" t="s">
        <v>22</v>
      </c>
      <c r="F789" s="5" t="s">
        <v>23</v>
      </c>
      <c r="G789" s="5" t="s">
        <v>24</v>
      </c>
      <c r="H789" s="5">
        <v>1599047</v>
      </c>
      <c r="I789">
        <v>835</v>
      </c>
      <c r="J789">
        <v>1962476</v>
      </c>
      <c r="K789">
        <v>120</v>
      </c>
      <c r="L789">
        <v>13.89</v>
      </c>
      <c r="M789" t="s">
        <v>25</v>
      </c>
      <c r="N789" t="s">
        <v>38</v>
      </c>
      <c r="O789" t="s">
        <v>27</v>
      </c>
      <c r="P789">
        <v>18625.53</v>
      </c>
      <c r="Q789">
        <v>295600.8</v>
      </c>
      <c r="R789" t="s">
        <v>28</v>
      </c>
      <c r="S789" s="1">
        <v>45813</v>
      </c>
    </row>
    <row r="790" spans="1:19" x14ac:dyDescent="0.25">
      <c r="A790" s="5" t="s">
        <v>1617</v>
      </c>
      <c r="B790" s="5" t="s">
        <v>1618</v>
      </c>
      <c r="C790" s="5" t="s">
        <v>31</v>
      </c>
      <c r="D790" s="5">
        <v>45</v>
      </c>
      <c r="E790" s="5" t="s">
        <v>22</v>
      </c>
      <c r="F790" s="5" t="s">
        <v>42</v>
      </c>
      <c r="G790" s="5" t="s">
        <v>33</v>
      </c>
      <c r="H790" s="5">
        <v>1648240</v>
      </c>
      <c r="I790">
        <v>703</v>
      </c>
      <c r="J790">
        <v>1407862</v>
      </c>
      <c r="K790">
        <v>84</v>
      </c>
      <c r="L790">
        <v>15.44</v>
      </c>
      <c r="M790" t="s">
        <v>54</v>
      </c>
      <c r="N790" t="s">
        <v>51</v>
      </c>
      <c r="O790" t="s">
        <v>27</v>
      </c>
      <c r="P790">
        <v>19348.05</v>
      </c>
      <c r="Q790">
        <v>1371468.71</v>
      </c>
      <c r="R790" t="s">
        <v>28</v>
      </c>
      <c r="S790" s="1">
        <v>45727</v>
      </c>
    </row>
    <row r="791" spans="1:19" x14ac:dyDescent="0.25">
      <c r="A791" s="5" t="s">
        <v>1619</v>
      </c>
      <c r="B791" s="5" t="s">
        <v>1620</v>
      </c>
      <c r="C791" s="5" t="s">
        <v>21</v>
      </c>
      <c r="D791" s="5">
        <v>37</v>
      </c>
      <c r="E791" s="5" t="s">
        <v>22</v>
      </c>
      <c r="F791" s="5" t="s">
        <v>42</v>
      </c>
      <c r="G791" s="5" t="s">
        <v>24</v>
      </c>
      <c r="H791" s="5">
        <v>1467317</v>
      </c>
      <c r="I791">
        <v>590</v>
      </c>
      <c r="J791">
        <v>1215085</v>
      </c>
      <c r="K791">
        <v>180</v>
      </c>
      <c r="L791">
        <v>12.53</v>
      </c>
      <c r="M791" t="s">
        <v>5</v>
      </c>
      <c r="N791" t="s">
        <v>44</v>
      </c>
      <c r="O791" t="s">
        <v>39</v>
      </c>
      <c r="P791">
        <v>7596.31</v>
      </c>
      <c r="Q791">
        <v>442810.83</v>
      </c>
      <c r="R791" t="s">
        <v>28</v>
      </c>
      <c r="S791" s="1">
        <v>45376</v>
      </c>
    </row>
    <row r="792" spans="1:19" x14ac:dyDescent="0.25">
      <c r="A792" s="5" t="s">
        <v>1621</v>
      </c>
      <c r="B792" s="5" t="s">
        <v>1622</v>
      </c>
      <c r="C792" s="5" t="s">
        <v>31</v>
      </c>
      <c r="D792" s="5">
        <v>49</v>
      </c>
      <c r="E792" s="5" t="s">
        <v>32</v>
      </c>
      <c r="F792" s="5" t="s">
        <v>42</v>
      </c>
      <c r="G792" s="5" t="s">
        <v>24</v>
      </c>
      <c r="H792" s="5">
        <v>1334533</v>
      </c>
      <c r="I792">
        <v>632</v>
      </c>
      <c r="J792">
        <v>997910</v>
      </c>
      <c r="K792">
        <v>180</v>
      </c>
      <c r="L792">
        <v>9.0399999999999991</v>
      </c>
      <c r="M792" t="s">
        <v>5</v>
      </c>
      <c r="N792" t="s">
        <v>44</v>
      </c>
      <c r="O792" t="s">
        <v>39</v>
      </c>
      <c r="P792">
        <v>6045.12</v>
      </c>
      <c r="Q792">
        <v>871618.89</v>
      </c>
      <c r="R792" t="s">
        <v>28</v>
      </c>
      <c r="S792" s="1">
        <v>45328</v>
      </c>
    </row>
    <row r="793" spans="1:19" x14ac:dyDescent="0.25">
      <c r="A793" s="5" t="s">
        <v>1623</v>
      </c>
      <c r="B793" s="5" t="s">
        <v>1624</v>
      </c>
      <c r="C793" s="5" t="s">
        <v>31</v>
      </c>
      <c r="D793" s="5">
        <v>33</v>
      </c>
      <c r="E793" s="5" t="s">
        <v>32</v>
      </c>
      <c r="F793" s="5" t="s">
        <v>42</v>
      </c>
      <c r="G793" s="5" t="s">
        <v>24</v>
      </c>
      <c r="H793" s="5">
        <v>638428</v>
      </c>
      <c r="I793">
        <v>651</v>
      </c>
      <c r="J793">
        <v>177227</v>
      </c>
      <c r="K793">
        <v>60</v>
      </c>
      <c r="L793">
        <v>13.94</v>
      </c>
      <c r="M793" t="s">
        <v>25</v>
      </c>
      <c r="N793" t="s">
        <v>26</v>
      </c>
      <c r="O793" t="s">
        <v>27</v>
      </c>
      <c r="P793">
        <v>3365.54</v>
      </c>
      <c r="Q793">
        <v>74599.929999999993</v>
      </c>
      <c r="R793" t="s">
        <v>28</v>
      </c>
      <c r="S793" s="1">
        <v>45700</v>
      </c>
    </row>
    <row r="794" spans="1:19" x14ac:dyDescent="0.25">
      <c r="A794" s="5" t="s">
        <v>1625</v>
      </c>
      <c r="B794" s="5" t="s">
        <v>1626</v>
      </c>
      <c r="C794" s="5" t="s">
        <v>21</v>
      </c>
      <c r="D794" s="5">
        <v>22</v>
      </c>
      <c r="E794" s="5" t="s">
        <v>22</v>
      </c>
      <c r="F794" s="5" t="s">
        <v>23</v>
      </c>
      <c r="G794" s="5" t="s">
        <v>33</v>
      </c>
      <c r="H794" s="5">
        <v>552870</v>
      </c>
      <c r="I794">
        <v>659</v>
      </c>
      <c r="J794">
        <v>1986086</v>
      </c>
      <c r="K794">
        <v>180</v>
      </c>
      <c r="L794">
        <v>8.32</v>
      </c>
      <c r="M794" t="s">
        <v>25</v>
      </c>
      <c r="N794" t="s">
        <v>104</v>
      </c>
      <c r="O794" t="s">
        <v>27</v>
      </c>
      <c r="P794">
        <v>11951.82</v>
      </c>
      <c r="Q794">
        <v>455189.18</v>
      </c>
      <c r="R794" t="s">
        <v>28</v>
      </c>
      <c r="S794" s="1">
        <v>45504</v>
      </c>
    </row>
    <row r="795" spans="1:19" x14ac:dyDescent="0.25">
      <c r="A795" s="5" t="s">
        <v>1627</v>
      </c>
      <c r="B795" s="5" t="s">
        <v>1628</v>
      </c>
      <c r="C795" s="5" t="s">
        <v>31</v>
      </c>
      <c r="D795" s="5">
        <v>41</v>
      </c>
      <c r="E795" s="5" t="s">
        <v>22</v>
      </c>
      <c r="F795" s="5" t="s">
        <v>23</v>
      </c>
      <c r="G795" s="5" t="s">
        <v>24</v>
      </c>
      <c r="H795" s="5">
        <v>1490132</v>
      </c>
      <c r="I795">
        <v>700</v>
      </c>
      <c r="J795">
        <v>885252</v>
      </c>
      <c r="K795">
        <v>48</v>
      </c>
      <c r="L795">
        <v>11.13</v>
      </c>
      <c r="M795" t="s">
        <v>25</v>
      </c>
      <c r="N795" t="s">
        <v>51</v>
      </c>
      <c r="O795" t="s">
        <v>27</v>
      </c>
      <c r="P795">
        <v>20495.43</v>
      </c>
      <c r="Q795">
        <v>539387.03</v>
      </c>
      <c r="R795" t="s">
        <v>28</v>
      </c>
      <c r="S795" s="1">
        <v>45402</v>
      </c>
    </row>
    <row r="796" spans="1:19" x14ac:dyDescent="0.25">
      <c r="A796" s="5" t="s">
        <v>1629</v>
      </c>
      <c r="B796" s="5" t="s">
        <v>1630</v>
      </c>
      <c r="C796" s="5" t="s">
        <v>21</v>
      </c>
      <c r="D796" s="5">
        <v>25</v>
      </c>
      <c r="E796" s="5" t="s">
        <v>22</v>
      </c>
      <c r="F796" s="5" t="s">
        <v>23</v>
      </c>
      <c r="G796" s="5" t="s">
        <v>24</v>
      </c>
      <c r="H796" s="5">
        <v>1870050</v>
      </c>
      <c r="I796">
        <v>648</v>
      </c>
      <c r="J796">
        <v>1044393</v>
      </c>
      <c r="K796">
        <v>24</v>
      </c>
      <c r="L796">
        <v>11.82</v>
      </c>
      <c r="M796" t="s">
        <v>5</v>
      </c>
      <c r="N796" t="s">
        <v>26</v>
      </c>
      <c r="O796" t="s">
        <v>39</v>
      </c>
      <c r="P796">
        <v>48660.01</v>
      </c>
      <c r="Q796">
        <v>868169.45</v>
      </c>
      <c r="R796" t="s">
        <v>28</v>
      </c>
      <c r="S796" s="1">
        <v>45834</v>
      </c>
    </row>
    <row r="797" spans="1:19" x14ac:dyDescent="0.25">
      <c r="A797" s="5" t="s">
        <v>1631</v>
      </c>
      <c r="B797" s="5" t="s">
        <v>1632</v>
      </c>
      <c r="C797" s="5" t="s">
        <v>31</v>
      </c>
      <c r="D797" s="5">
        <v>37</v>
      </c>
      <c r="E797" s="5" t="s">
        <v>32</v>
      </c>
      <c r="F797" s="5" t="s">
        <v>23</v>
      </c>
      <c r="G797" s="5" t="s">
        <v>33</v>
      </c>
      <c r="H797" s="5">
        <v>1799189</v>
      </c>
      <c r="I797">
        <v>807</v>
      </c>
      <c r="J797">
        <v>1957710</v>
      </c>
      <c r="K797">
        <v>84</v>
      </c>
      <c r="L797">
        <v>11.89</v>
      </c>
      <c r="M797" t="s">
        <v>5</v>
      </c>
      <c r="N797" t="s">
        <v>38</v>
      </c>
      <c r="O797" t="s">
        <v>27</v>
      </c>
      <c r="P797">
        <v>26077.16</v>
      </c>
      <c r="Q797">
        <v>665212.11</v>
      </c>
      <c r="R797" t="s">
        <v>28</v>
      </c>
      <c r="S797" s="1">
        <v>45746</v>
      </c>
    </row>
    <row r="798" spans="1:19" x14ac:dyDescent="0.25">
      <c r="A798" s="5" t="s">
        <v>1633</v>
      </c>
      <c r="B798" s="5" t="s">
        <v>1634</v>
      </c>
      <c r="C798" s="5" t="s">
        <v>31</v>
      </c>
      <c r="D798" s="5">
        <v>60</v>
      </c>
      <c r="E798" s="5" t="s">
        <v>22</v>
      </c>
      <c r="F798" s="5" t="s">
        <v>42</v>
      </c>
      <c r="G798" s="5" t="s">
        <v>24</v>
      </c>
      <c r="H798" s="5">
        <v>1300728</v>
      </c>
      <c r="I798">
        <v>787</v>
      </c>
      <c r="J798">
        <v>433111</v>
      </c>
      <c r="K798">
        <v>120</v>
      </c>
      <c r="L798">
        <v>11.86</v>
      </c>
      <c r="M798" t="s">
        <v>57</v>
      </c>
      <c r="N798" t="s">
        <v>26</v>
      </c>
      <c r="O798" t="s">
        <v>27</v>
      </c>
      <c r="P798">
        <v>4037.32</v>
      </c>
      <c r="Q798">
        <v>262318.89</v>
      </c>
      <c r="R798" t="s">
        <v>28</v>
      </c>
      <c r="S798" s="1">
        <v>45475</v>
      </c>
    </row>
    <row r="799" spans="1:19" x14ac:dyDescent="0.25">
      <c r="A799" s="5" t="s">
        <v>1635</v>
      </c>
      <c r="B799" s="5" t="s">
        <v>1636</v>
      </c>
      <c r="C799" s="5" t="s">
        <v>31</v>
      </c>
      <c r="D799" s="5">
        <v>23</v>
      </c>
      <c r="E799" s="5" t="s">
        <v>22</v>
      </c>
      <c r="F799" s="5" t="s">
        <v>23</v>
      </c>
      <c r="G799" s="5" t="s">
        <v>33</v>
      </c>
      <c r="H799" s="5">
        <v>487969</v>
      </c>
      <c r="I799">
        <v>770</v>
      </c>
      <c r="J799">
        <v>711880</v>
      </c>
      <c r="K799">
        <v>120</v>
      </c>
      <c r="L799">
        <v>15.03</v>
      </c>
      <c r="M799" t="s">
        <v>54</v>
      </c>
      <c r="N799" t="s">
        <v>51</v>
      </c>
      <c r="O799" t="s">
        <v>27</v>
      </c>
      <c r="P799">
        <v>6823.96</v>
      </c>
      <c r="Q799">
        <v>542574.98</v>
      </c>
      <c r="R799" t="s">
        <v>28</v>
      </c>
      <c r="S799" s="1">
        <v>45323</v>
      </c>
    </row>
    <row r="800" spans="1:19" x14ac:dyDescent="0.25">
      <c r="A800" s="5" t="s">
        <v>1637</v>
      </c>
      <c r="B800" s="5" t="s">
        <v>1638</v>
      </c>
      <c r="C800" s="5" t="s">
        <v>21</v>
      </c>
      <c r="D800" s="5">
        <v>54</v>
      </c>
      <c r="E800" s="5" t="s">
        <v>32</v>
      </c>
      <c r="F800" s="5" t="s">
        <v>23</v>
      </c>
      <c r="G800" s="5" t="s">
        <v>33</v>
      </c>
      <c r="H800" s="5">
        <v>1663984</v>
      </c>
      <c r="I800">
        <v>813</v>
      </c>
      <c r="J800">
        <v>242593</v>
      </c>
      <c r="K800">
        <v>240</v>
      </c>
      <c r="L800">
        <v>13.25</v>
      </c>
      <c r="M800" t="s">
        <v>57</v>
      </c>
      <c r="N800" t="s">
        <v>26</v>
      </c>
      <c r="O800" t="s">
        <v>27</v>
      </c>
      <c r="P800">
        <v>1144.74</v>
      </c>
      <c r="Q800">
        <v>133119.07</v>
      </c>
      <c r="R800" t="s">
        <v>28</v>
      </c>
      <c r="S800" s="1">
        <v>45706</v>
      </c>
    </row>
    <row r="801" spans="1:19" x14ac:dyDescent="0.25">
      <c r="A801" s="5" t="s">
        <v>1639</v>
      </c>
      <c r="B801" s="5" t="s">
        <v>1640</v>
      </c>
      <c r="C801" s="5" t="s">
        <v>21</v>
      </c>
      <c r="D801" s="5">
        <v>24</v>
      </c>
      <c r="E801" s="5" t="s">
        <v>32</v>
      </c>
      <c r="F801" s="5" t="s">
        <v>23</v>
      </c>
      <c r="G801" s="5" t="s">
        <v>24</v>
      </c>
      <c r="H801" s="5">
        <v>715894</v>
      </c>
      <c r="I801">
        <v>789</v>
      </c>
      <c r="J801">
        <v>1187991</v>
      </c>
      <c r="K801">
        <v>240</v>
      </c>
      <c r="L801">
        <v>11.1</v>
      </c>
      <c r="M801" t="s">
        <v>54</v>
      </c>
      <c r="N801" t="s">
        <v>38</v>
      </c>
      <c r="O801" t="s">
        <v>27</v>
      </c>
      <c r="P801">
        <v>5499.41</v>
      </c>
      <c r="Q801">
        <v>637799.96</v>
      </c>
      <c r="R801" t="s">
        <v>28</v>
      </c>
      <c r="S801" s="1">
        <v>45884</v>
      </c>
    </row>
    <row r="802" spans="1:19" x14ac:dyDescent="0.25">
      <c r="A802" s="5" t="s">
        <v>1641</v>
      </c>
      <c r="B802" s="5" t="s">
        <v>1642</v>
      </c>
      <c r="C802" s="5" t="s">
        <v>31</v>
      </c>
      <c r="D802" s="5">
        <v>43</v>
      </c>
      <c r="E802" s="5" t="s">
        <v>32</v>
      </c>
      <c r="F802" s="5" t="s">
        <v>42</v>
      </c>
      <c r="G802" s="5" t="s">
        <v>33</v>
      </c>
      <c r="H802" s="5">
        <v>737657</v>
      </c>
      <c r="I802">
        <v>696</v>
      </c>
      <c r="J802">
        <v>881966</v>
      </c>
      <c r="K802">
        <v>24</v>
      </c>
      <c r="L802">
        <v>13.04</v>
      </c>
      <c r="M802" t="s">
        <v>43</v>
      </c>
      <c r="N802" t="s">
        <v>51</v>
      </c>
      <c r="O802" t="s">
        <v>27</v>
      </c>
      <c r="P802">
        <v>41540.6</v>
      </c>
      <c r="Q802">
        <v>799716.81</v>
      </c>
      <c r="R802" t="s">
        <v>28</v>
      </c>
      <c r="S802" s="1">
        <v>46004</v>
      </c>
    </row>
    <row r="803" spans="1:19" x14ac:dyDescent="0.25">
      <c r="A803" s="5" t="s">
        <v>1643</v>
      </c>
      <c r="B803" s="5" t="s">
        <v>1644</v>
      </c>
      <c r="C803" s="5" t="s">
        <v>31</v>
      </c>
      <c r="D803" s="5">
        <v>55</v>
      </c>
      <c r="E803" s="5" t="s">
        <v>22</v>
      </c>
      <c r="F803" s="5" t="s">
        <v>42</v>
      </c>
      <c r="G803" s="5" t="s">
        <v>24</v>
      </c>
      <c r="H803" s="5">
        <v>1857308</v>
      </c>
      <c r="I803">
        <v>754</v>
      </c>
      <c r="J803">
        <v>603364</v>
      </c>
      <c r="K803">
        <v>60</v>
      </c>
      <c r="L803">
        <v>10.99</v>
      </c>
      <c r="M803" t="s">
        <v>5</v>
      </c>
      <c r="N803" t="s">
        <v>44</v>
      </c>
      <c r="O803" t="s">
        <v>27</v>
      </c>
      <c r="P803">
        <v>11161.23</v>
      </c>
      <c r="Q803">
        <v>314384.8</v>
      </c>
      <c r="R803" t="s">
        <v>28</v>
      </c>
      <c r="S803" s="1">
        <v>45833</v>
      </c>
    </row>
    <row r="804" spans="1:19" x14ac:dyDescent="0.25">
      <c r="A804" s="5" t="s">
        <v>1645</v>
      </c>
      <c r="B804" s="5" t="s">
        <v>1646</v>
      </c>
      <c r="C804" s="5" t="s">
        <v>21</v>
      </c>
      <c r="D804" s="5">
        <v>29</v>
      </c>
      <c r="E804" s="5" t="s">
        <v>32</v>
      </c>
      <c r="F804" s="5" t="s">
        <v>23</v>
      </c>
      <c r="G804" s="5" t="s">
        <v>33</v>
      </c>
      <c r="H804" s="5">
        <v>819402</v>
      </c>
      <c r="I804">
        <v>596</v>
      </c>
      <c r="J804">
        <v>161619</v>
      </c>
      <c r="K804">
        <v>240</v>
      </c>
      <c r="L804">
        <v>12.92</v>
      </c>
      <c r="M804" t="s">
        <v>57</v>
      </c>
      <c r="N804" t="s">
        <v>44</v>
      </c>
      <c r="O804" t="s">
        <v>27</v>
      </c>
      <c r="P804">
        <v>760.42</v>
      </c>
      <c r="Q804">
        <v>46518.34</v>
      </c>
      <c r="R804" t="s">
        <v>28</v>
      </c>
      <c r="S804" s="1">
        <v>45501</v>
      </c>
    </row>
    <row r="805" spans="1:19" x14ac:dyDescent="0.25">
      <c r="A805" s="5" t="s">
        <v>1647</v>
      </c>
      <c r="B805" s="5" t="s">
        <v>1648</v>
      </c>
      <c r="C805" s="5" t="s">
        <v>31</v>
      </c>
      <c r="D805" s="5">
        <v>53</v>
      </c>
      <c r="E805" s="5" t="s">
        <v>32</v>
      </c>
      <c r="F805" s="5" t="s">
        <v>42</v>
      </c>
      <c r="G805" s="5" t="s">
        <v>24</v>
      </c>
      <c r="H805" s="5">
        <v>988600</v>
      </c>
      <c r="I805">
        <v>569</v>
      </c>
      <c r="J805">
        <v>1995649</v>
      </c>
      <c r="K805">
        <v>180</v>
      </c>
      <c r="L805">
        <v>12.32</v>
      </c>
      <c r="M805" t="s">
        <v>57</v>
      </c>
      <c r="N805" t="s">
        <v>34</v>
      </c>
      <c r="O805" t="s">
        <v>39</v>
      </c>
      <c r="P805">
        <v>12452.85</v>
      </c>
      <c r="Q805">
        <v>1926537.32</v>
      </c>
      <c r="R805" t="s">
        <v>28</v>
      </c>
      <c r="S805" s="1">
        <v>46006</v>
      </c>
    </row>
    <row r="806" spans="1:19" x14ac:dyDescent="0.25">
      <c r="A806" s="5" t="s">
        <v>1649</v>
      </c>
      <c r="B806" s="5" t="s">
        <v>1650</v>
      </c>
      <c r="C806" s="5" t="s">
        <v>31</v>
      </c>
      <c r="D806" s="5">
        <v>32</v>
      </c>
      <c r="E806" s="5" t="s">
        <v>22</v>
      </c>
      <c r="F806" s="5" t="s">
        <v>23</v>
      </c>
      <c r="G806" s="5" t="s">
        <v>33</v>
      </c>
      <c r="H806" s="5">
        <v>343847</v>
      </c>
      <c r="I806">
        <v>699</v>
      </c>
      <c r="J806">
        <v>1462588</v>
      </c>
      <c r="K806">
        <v>60</v>
      </c>
      <c r="L806">
        <v>13.98</v>
      </c>
      <c r="M806" t="s">
        <v>5</v>
      </c>
      <c r="N806" t="s">
        <v>34</v>
      </c>
      <c r="O806" t="s">
        <v>39</v>
      </c>
      <c r="P806">
        <v>27784.3</v>
      </c>
      <c r="Q806">
        <v>873392.35</v>
      </c>
      <c r="R806" t="s">
        <v>28</v>
      </c>
      <c r="S806" s="1">
        <v>45500</v>
      </c>
    </row>
    <row r="807" spans="1:19" x14ac:dyDescent="0.25">
      <c r="A807" s="5" t="s">
        <v>1651</v>
      </c>
      <c r="B807" s="5" t="s">
        <v>1652</v>
      </c>
      <c r="C807" s="5" t="s">
        <v>31</v>
      </c>
      <c r="D807" s="5">
        <v>25</v>
      </c>
      <c r="E807" s="5" t="s">
        <v>22</v>
      </c>
      <c r="F807" s="5" t="s">
        <v>42</v>
      </c>
      <c r="G807" s="5" t="s">
        <v>24</v>
      </c>
      <c r="H807" s="5">
        <v>301289</v>
      </c>
      <c r="I807">
        <v>720</v>
      </c>
      <c r="J807">
        <v>688465</v>
      </c>
      <c r="K807">
        <v>84</v>
      </c>
      <c r="L807">
        <v>10.32</v>
      </c>
      <c r="M807" t="s">
        <v>54</v>
      </c>
      <c r="N807" t="s">
        <v>104</v>
      </c>
      <c r="O807" t="s">
        <v>39</v>
      </c>
      <c r="P807">
        <v>9041.84</v>
      </c>
      <c r="Q807">
        <v>150124.60999999999</v>
      </c>
      <c r="R807" t="s">
        <v>28</v>
      </c>
      <c r="S807" s="1">
        <v>45509</v>
      </c>
    </row>
    <row r="808" spans="1:19" x14ac:dyDescent="0.25">
      <c r="A808" s="5" t="s">
        <v>1653</v>
      </c>
      <c r="B808" s="5" t="s">
        <v>1654</v>
      </c>
      <c r="C808" s="5" t="s">
        <v>31</v>
      </c>
      <c r="D808" s="5">
        <v>52</v>
      </c>
      <c r="E808" s="5" t="s">
        <v>32</v>
      </c>
      <c r="F808" s="5" t="s">
        <v>42</v>
      </c>
      <c r="G808" s="5" t="s">
        <v>33</v>
      </c>
      <c r="H808" s="5">
        <v>1323412</v>
      </c>
      <c r="I808">
        <v>797</v>
      </c>
      <c r="J808">
        <v>222884</v>
      </c>
      <c r="K808">
        <v>36</v>
      </c>
      <c r="L808">
        <v>14.39</v>
      </c>
      <c r="M808" t="s">
        <v>43</v>
      </c>
      <c r="N808" t="s">
        <v>51</v>
      </c>
      <c r="O808" t="s">
        <v>27</v>
      </c>
      <c r="P808">
        <v>7082.14</v>
      </c>
      <c r="Q808">
        <v>201219.99</v>
      </c>
      <c r="R808" t="s">
        <v>28</v>
      </c>
      <c r="S808" s="1">
        <v>45744</v>
      </c>
    </row>
    <row r="809" spans="1:19" x14ac:dyDescent="0.25">
      <c r="A809" s="5" t="s">
        <v>1655</v>
      </c>
      <c r="B809" s="5" t="s">
        <v>1656</v>
      </c>
      <c r="C809" s="5" t="s">
        <v>31</v>
      </c>
      <c r="D809" s="5">
        <v>40</v>
      </c>
      <c r="E809" s="5" t="s">
        <v>22</v>
      </c>
      <c r="F809" s="5" t="s">
        <v>23</v>
      </c>
      <c r="G809" s="5" t="s">
        <v>33</v>
      </c>
      <c r="H809" s="5">
        <v>826063</v>
      </c>
      <c r="I809">
        <v>719</v>
      </c>
      <c r="J809">
        <v>518876</v>
      </c>
      <c r="K809">
        <v>24</v>
      </c>
      <c r="L809">
        <v>8.86</v>
      </c>
      <c r="M809" t="s">
        <v>43</v>
      </c>
      <c r="N809" t="s">
        <v>38</v>
      </c>
      <c r="O809" t="s">
        <v>27</v>
      </c>
      <c r="P809">
        <v>23535.35</v>
      </c>
      <c r="Q809">
        <v>420331.83</v>
      </c>
      <c r="R809" t="s">
        <v>28</v>
      </c>
      <c r="S809" s="1">
        <v>45716</v>
      </c>
    </row>
    <row r="810" spans="1:19" x14ac:dyDescent="0.25">
      <c r="A810" s="5" t="s">
        <v>1657</v>
      </c>
      <c r="B810" s="5" t="s">
        <v>1658</v>
      </c>
      <c r="C810" s="5" t="s">
        <v>31</v>
      </c>
      <c r="D810" s="5">
        <v>42</v>
      </c>
      <c r="E810" s="5" t="s">
        <v>32</v>
      </c>
      <c r="F810" s="5" t="s">
        <v>23</v>
      </c>
      <c r="G810" s="5" t="s">
        <v>33</v>
      </c>
      <c r="H810" s="5">
        <v>1837066</v>
      </c>
      <c r="I810">
        <v>550</v>
      </c>
      <c r="J810">
        <v>1925029</v>
      </c>
      <c r="K810">
        <v>48</v>
      </c>
      <c r="L810">
        <v>10.09</v>
      </c>
      <c r="M810" t="s">
        <v>25</v>
      </c>
      <c r="N810" t="s">
        <v>44</v>
      </c>
      <c r="O810" t="s">
        <v>39</v>
      </c>
      <c r="P810">
        <v>44151.34</v>
      </c>
      <c r="Q810">
        <v>573779.12</v>
      </c>
      <c r="R810" t="s">
        <v>28</v>
      </c>
      <c r="S810" s="1">
        <v>45305</v>
      </c>
    </row>
    <row r="811" spans="1:19" x14ac:dyDescent="0.25">
      <c r="A811" s="5" t="s">
        <v>1659</v>
      </c>
      <c r="B811" s="5" t="s">
        <v>1660</v>
      </c>
      <c r="C811" s="5" t="s">
        <v>31</v>
      </c>
      <c r="D811" s="5">
        <v>34</v>
      </c>
      <c r="E811" s="5" t="s">
        <v>22</v>
      </c>
      <c r="F811" s="5" t="s">
        <v>42</v>
      </c>
      <c r="G811" s="5" t="s">
        <v>33</v>
      </c>
      <c r="H811" s="5">
        <v>1277605</v>
      </c>
      <c r="I811">
        <v>688</v>
      </c>
      <c r="J811">
        <v>814453</v>
      </c>
      <c r="K811">
        <v>60</v>
      </c>
      <c r="L811">
        <v>10.27</v>
      </c>
      <c r="M811" t="s">
        <v>43</v>
      </c>
      <c r="N811" t="s">
        <v>26</v>
      </c>
      <c r="O811" t="s">
        <v>27</v>
      </c>
      <c r="P811">
        <v>14968.29</v>
      </c>
      <c r="Q811">
        <v>778921.34</v>
      </c>
      <c r="R811" t="s">
        <v>28</v>
      </c>
      <c r="S811" s="1">
        <v>45417</v>
      </c>
    </row>
    <row r="812" spans="1:19" x14ac:dyDescent="0.25">
      <c r="A812" s="5" t="s">
        <v>1661</v>
      </c>
      <c r="B812" s="5" t="s">
        <v>1662</v>
      </c>
      <c r="C812" s="5" t="s">
        <v>31</v>
      </c>
      <c r="D812" s="5">
        <v>50</v>
      </c>
      <c r="E812" s="5" t="s">
        <v>32</v>
      </c>
      <c r="F812" s="5" t="s">
        <v>42</v>
      </c>
      <c r="G812" s="5" t="s">
        <v>24</v>
      </c>
      <c r="H812" s="5">
        <v>1424996</v>
      </c>
      <c r="I812">
        <v>645</v>
      </c>
      <c r="J812">
        <v>884464</v>
      </c>
      <c r="K812">
        <v>12</v>
      </c>
      <c r="L812">
        <v>15.07</v>
      </c>
      <c r="M812" t="s">
        <v>57</v>
      </c>
      <c r="N812" t="s">
        <v>51</v>
      </c>
      <c r="O812" t="s">
        <v>27</v>
      </c>
      <c r="P812">
        <v>84812.73</v>
      </c>
      <c r="Q812">
        <v>760523.16</v>
      </c>
      <c r="R812" t="s">
        <v>28</v>
      </c>
      <c r="S812" s="1">
        <v>45844</v>
      </c>
    </row>
    <row r="813" spans="1:19" x14ac:dyDescent="0.25">
      <c r="A813" s="5" t="s">
        <v>1663</v>
      </c>
      <c r="B813" s="5" t="s">
        <v>1664</v>
      </c>
      <c r="C813" s="5" t="s">
        <v>31</v>
      </c>
      <c r="D813" s="5">
        <v>37</v>
      </c>
      <c r="E813" s="5" t="s">
        <v>32</v>
      </c>
      <c r="F813" s="5" t="s">
        <v>23</v>
      </c>
      <c r="G813" s="5" t="s">
        <v>24</v>
      </c>
      <c r="H813" s="5">
        <v>1615911</v>
      </c>
      <c r="I813">
        <v>799</v>
      </c>
      <c r="J813">
        <v>1846253</v>
      </c>
      <c r="K813">
        <v>36</v>
      </c>
      <c r="L813">
        <v>8.01</v>
      </c>
      <c r="M813" t="s">
        <v>54</v>
      </c>
      <c r="N813" t="s">
        <v>44</v>
      </c>
      <c r="O813" t="s">
        <v>27</v>
      </c>
      <c r="P813">
        <v>55392.72</v>
      </c>
      <c r="Q813">
        <v>1292635.46</v>
      </c>
      <c r="R813" t="s">
        <v>28</v>
      </c>
      <c r="S813" s="1">
        <v>45444</v>
      </c>
    </row>
    <row r="814" spans="1:19" x14ac:dyDescent="0.25">
      <c r="A814" s="5" t="s">
        <v>1665</v>
      </c>
      <c r="B814" s="5" t="s">
        <v>1666</v>
      </c>
      <c r="C814" s="5" t="s">
        <v>31</v>
      </c>
      <c r="D814" s="5">
        <v>29</v>
      </c>
      <c r="E814" s="5" t="s">
        <v>32</v>
      </c>
      <c r="F814" s="5" t="s">
        <v>42</v>
      </c>
      <c r="G814" s="5" t="s">
        <v>33</v>
      </c>
      <c r="H814" s="5">
        <v>985299</v>
      </c>
      <c r="I814">
        <v>725</v>
      </c>
      <c r="J814">
        <v>1766824</v>
      </c>
      <c r="K814">
        <v>84</v>
      </c>
      <c r="L814">
        <v>12.72</v>
      </c>
      <c r="M814" t="s">
        <v>5</v>
      </c>
      <c r="N814" t="s">
        <v>51</v>
      </c>
      <c r="O814" t="s">
        <v>27</v>
      </c>
      <c r="P814">
        <v>23709.1</v>
      </c>
      <c r="Q814">
        <v>792246.72</v>
      </c>
      <c r="R814" t="s">
        <v>28</v>
      </c>
      <c r="S814" s="1">
        <v>45999</v>
      </c>
    </row>
    <row r="815" spans="1:19" x14ac:dyDescent="0.25">
      <c r="A815" s="5" t="s">
        <v>1667</v>
      </c>
      <c r="B815" s="5" t="s">
        <v>1668</v>
      </c>
      <c r="C815" s="5" t="s">
        <v>21</v>
      </c>
      <c r="D815" s="5">
        <v>34</v>
      </c>
      <c r="E815" s="5" t="s">
        <v>22</v>
      </c>
      <c r="F815" s="5" t="s">
        <v>23</v>
      </c>
      <c r="G815" s="5" t="s">
        <v>33</v>
      </c>
      <c r="H815" s="5">
        <v>1896702</v>
      </c>
      <c r="I815">
        <v>771</v>
      </c>
      <c r="J815">
        <v>581629</v>
      </c>
      <c r="K815">
        <v>120</v>
      </c>
      <c r="L815">
        <v>11.44</v>
      </c>
      <c r="M815" t="s">
        <v>25</v>
      </c>
      <c r="N815" t="s">
        <v>34</v>
      </c>
      <c r="O815" t="s">
        <v>27</v>
      </c>
      <c r="P815">
        <v>5401.39</v>
      </c>
      <c r="Q815">
        <v>527150.19999999995</v>
      </c>
      <c r="R815" t="s">
        <v>28</v>
      </c>
      <c r="S815" s="1">
        <v>45593</v>
      </c>
    </row>
    <row r="816" spans="1:19" x14ac:dyDescent="0.25">
      <c r="A816" s="5" t="s">
        <v>1669</v>
      </c>
      <c r="B816" s="5" t="s">
        <v>1670</v>
      </c>
      <c r="C816" s="5" t="s">
        <v>31</v>
      </c>
      <c r="D816" s="5">
        <v>59</v>
      </c>
      <c r="E816" s="5" t="s">
        <v>22</v>
      </c>
      <c r="F816" s="5" t="s">
        <v>42</v>
      </c>
      <c r="G816" s="5" t="s">
        <v>24</v>
      </c>
      <c r="H816" s="5">
        <v>1686384</v>
      </c>
      <c r="I816">
        <v>593</v>
      </c>
      <c r="J816">
        <v>429988</v>
      </c>
      <c r="K816">
        <v>240</v>
      </c>
      <c r="L816">
        <v>13.84</v>
      </c>
      <c r="M816" t="s">
        <v>57</v>
      </c>
      <c r="N816" t="s">
        <v>104</v>
      </c>
      <c r="O816" t="s">
        <v>39</v>
      </c>
      <c r="P816">
        <v>2039.58</v>
      </c>
      <c r="Q816">
        <v>104979.39</v>
      </c>
      <c r="R816" t="s">
        <v>28</v>
      </c>
      <c r="S816" s="1">
        <v>45548</v>
      </c>
    </row>
    <row r="817" spans="1:19" x14ac:dyDescent="0.25">
      <c r="A817" s="5" t="s">
        <v>1671</v>
      </c>
      <c r="B817" s="5" t="s">
        <v>1672</v>
      </c>
      <c r="C817" s="5" t="s">
        <v>21</v>
      </c>
      <c r="D817" s="5">
        <v>54</v>
      </c>
      <c r="E817" s="5" t="s">
        <v>32</v>
      </c>
      <c r="F817" s="5" t="s">
        <v>23</v>
      </c>
      <c r="G817" s="5" t="s">
        <v>33</v>
      </c>
      <c r="H817" s="5">
        <v>726327</v>
      </c>
      <c r="I817">
        <v>609</v>
      </c>
      <c r="J817">
        <v>867769</v>
      </c>
      <c r="K817">
        <v>24</v>
      </c>
      <c r="L817">
        <v>14.89</v>
      </c>
      <c r="M817" t="s">
        <v>57</v>
      </c>
      <c r="N817" t="s">
        <v>26</v>
      </c>
      <c r="O817" t="s">
        <v>27</v>
      </c>
      <c r="P817">
        <v>41540.83</v>
      </c>
      <c r="Q817">
        <v>713367.47</v>
      </c>
      <c r="R817" t="s">
        <v>35</v>
      </c>
      <c r="S817" s="1">
        <v>45878</v>
      </c>
    </row>
    <row r="818" spans="1:19" x14ac:dyDescent="0.25">
      <c r="A818" s="5" t="s">
        <v>1673</v>
      </c>
      <c r="B818" s="5" t="s">
        <v>1674</v>
      </c>
      <c r="C818" s="5" t="s">
        <v>21</v>
      </c>
      <c r="D818" s="5">
        <v>44</v>
      </c>
      <c r="E818" s="5" t="s">
        <v>22</v>
      </c>
      <c r="F818" s="5" t="s">
        <v>23</v>
      </c>
      <c r="G818" s="5" t="s">
        <v>33</v>
      </c>
      <c r="H818" s="5">
        <v>1789178</v>
      </c>
      <c r="I818">
        <v>714</v>
      </c>
      <c r="J818">
        <v>402476</v>
      </c>
      <c r="K818">
        <v>180</v>
      </c>
      <c r="L818">
        <v>7.54</v>
      </c>
      <c r="M818" t="s">
        <v>5</v>
      </c>
      <c r="N818" t="s">
        <v>38</v>
      </c>
      <c r="O818" t="s">
        <v>27</v>
      </c>
      <c r="P818">
        <v>2404.5700000000002</v>
      </c>
      <c r="Q818">
        <v>163944.49</v>
      </c>
      <c r="R818" t="s">
        <v>28</v>
      </c>
      <c r="S818" s="1">
        <v>45555</v>
      </c>
    </row>
    <row r="819" spans="1:19" x14ac:dyDescent="0.25">
      <c r="A819" s="5" t="s">
        <v>1675</v>
      </c>
      <c r="B819" s="5" t="s">
        <v>1676</v>
      </c>
      <c r="C819" s="5" t="s">
        <v>21</v>
      </c>
      <c r="D819" s="5">
        <v>45</v>
      </c>
      <c r="E819" s="5" t="s">
        <v>22</v>
      </c>
      <c r="F819" s="5" t="s">
        <v>23</v>
      </c>
      <c r="G819" s="5" t="s">
        <v>24</v>
      </c>
      <c r="H819" s="5">
        <v>1678527</v>
      </c>
      <c r="I819">
        <v>651</v>
      </c>
      <c r="J819">
        <v>855524</v>
      </c>
      <c r="K819">
        <v>60</v>
      </c>
      <c r="L819">
        <v>11.52</v>
      </c>
      <c r="M819" t="s">
        <v>43</v>
      </c>
      <c r="N819" t="s">
        <v>51</v>
      </c>
      <c r="O819" t="s">
        <v>27</v>
      </c>
      <c r="P819">
        <v>15901.34</v>
      </c>
      <c r="Q819">
        <v>538388.43000000005</v>
      </c>
      <c r="R819" t="s">
        <v>28</v>
      </c>
      <c r="S819" s="1">
        <v>45917</v>
      </c>
    </row>
    <row r="820" spans="1:19" x14ac:dyDescent="0.25">
      <c r="A820" s="5" t="s">
        <v>1677</v>
      </c>
      <c r="B820" s="5" t="s">
        <v>1678</v>
      </c>
      <c r="C820" s="5" t="s">
        <v>31</v>
      </c>
      <c r="D820" s="5">
        <v>30</v>
      </c>
      <c r="E820" s="5" t="s">
        <v>22</v>
      </c>
      <c r="F820" s="5" t="s">
        <v>23</v>
      </c>
      <c r="G820" s="5" t="s">
        <v>33</v>
      </c>
      <c r="H820" s="5">
        <v>1624807</v>
      </c>
      <c r="I820">
        <v>638</v>
      </c>
      <c r="J820">
        <v>1669525</v>
      </c>
      <c r="K820">
        <v>12</v>
      </c>
      <c r="L820">
        <v>15.3</v>
      </c>
      <c r="M820" t="s">
        <v>5</v>
      </c>
      <c r="N820" t="s">
        <v>44</v>
      </c>
      <c r="O820" t="s">
        <v>27</v>
      </c>
      <c r="P820">
        <v>160413.53</v>
      </c>
      <c r="Q820">
        <v>1249352.3500000001</v>
      </c>
      <c r="R820" t="s">
        <v>28</v>
      </c>
      <c r="S820" s="1">
        <v>45678</v>
      </c>
    </row>
    <row r="821" spans="1:19" x14ac:dyDescent="0.25">
      <c r="A821" s="5" t="s">
        <v>1679</v>
      </c>
      <c r="B821" s="5" t="s">
        <v>1680</v>
      </c>
      <c r="C821" s="5" t="s">
        <v>31</v>
      </c>
      <c r="D821" s="5">
        <v>60</v>
      </c>
      <c r="E821" s="5" t="s">
        <v>32</v>
      </c>
      <c r="F821" s="5" t="s">
        <v>42</v>
      </c>
      <c r="G821" s="5" t="s">
        <v>24</v>
      </c>
      <c r="H821" s="5">
        <v>1001035</v>
      </c>
      <c r="I821">
        <v>711</v>
      </c>
      <c r="J821">
        <v>1841545</v>
      </c>
      <c r="K821">
        <v>24</v>
      </c>
      <c r="L821">
        <v>14.92</v>
      </c>
      <c r="M821" t="s">
        <v>5</v>
      </c>
      <c r="N821" t="s">
        <v>104</v>
      </c>
      <c r="O821" t="s">
        <v>27</v>
      </c>
      <c r="P821">
        <v>88179.31</v>
      </c>
      <c r="Q821">
        <v>1552422.39</v>
      </c>
      <c r="R821" t="s">
        <v>28</v>
      </c>
      <c r="S821" s="1">
        <v>45969</v>
      </c>
    </row>
    <row r="822" spans="1:19" x14ac:dyDescent="0.25">
      <c r="A822" s="5" t="s">
        <v>1681</v>
      </c>
      <c r="B822" s="5" t="s">
        <v>1682</v>
      </c>
      <c r="C822" s="5" t="s">
        <v>21</v>
      </c>
      <c r="D822" s="5">
        <v>42</v>
      </c>
      <c r="E822" s="5" t="s">
        <v>32</v>
      </c>
      <c r="F822" s="5" t="s">
        <v>42</v>
      </c>
      <c r="G822" s="5" t="s">
        <v>33</v>
      </c>
      <c r="H822" s="5">
        <v>1173157</v>
      </c>
      <c r="I822">
        <v>818</v>
      </c>
      <c r="J822">
        <v>510478</v>
      </c>
      <c r="K822">
        <v>240</v>
      </c>
      <c r="L822">
        <v>8.27</v>
      </c>
      <c r="M822" t="s">
        <v>54</v>
      </c>
      <c r="N822" t="s">
        <v>38</v>
      </c>
      <c r="O822" t="s">
        <v>27</v>
      </c>
      <c r="P822">
        <v>2302.89</v>
      </c>
      <c r="Q822">
        <v>276739.21000000002</v>
      </c>
      <c r="R822" t="s">
        <v>28</v>
      </c>
      <c r="S822" s="1">
        <v>45979</v>
      </c>
    </row>
    <row r="823" spans="1:19" x14ac:dyDescent="0.25">
      <c r="A823" s="5" t="s">
        <v>1683</v>
      </c>
      <c r="B823" s="5" t="s">
        <v>1684</v>
      </c>
      <c r="C823" s="5" t="s">
        <v>21</v>
      </c>
      <c r="D823" s="5">
        <v>31</v>
      </c>
      <c r="E823" s="5" t="s">
        <v>32</v>
      </c>
      <c r="F823" s="5" t="s">
        <v>42</v>
      </c>
      <c r="G823" s="5" t="s">
        <v>24</v>
      </c>
      <c r="H823" s="5">
        <v>696497</v>
      </c>
      <c r="I823">
        <v>848</v>
      </c>
      <c r="J823">
        <v>1830530</v>
      </c>
      <c r="K823">
        <v>24</v>
      </c>
      <c r="L823">
        <v>14.35</v>
      </c>
      <c r="M823" t="s">
        <v>54</v>
      </c>
      <c r="N823" t="s">
        <v>44</v>
      </c>
      <c r="O823" t="s">
        <v>27</v>
      </c>
      <c r="P823">
        <v>87217.13</v>
      </c>
      <c r="Q823">
        <v>1362630.28</v>
      </c>
      <c r="R823" t="s">
        <v>28</v>
      </c>
      <c r="S823" s="1">
        <v>45770</v>
      </c>
    </row>
    <row r="824" spans="1:19" x14ac:dyDescent="0.25">
      <c r="A824" s="5" t="s">
        <v>1685</v>
      </c>
      <c r="B824" s="5" t="s">
        <v>1686</v>
      </c>
      <c r="C824" s="5" t="s">
        <v>21</v>
      </c>
      <c r="D824" s="5">
        <v>21</v>
      </c>
      <c r="E824" s="5" t="s">
        <v>32</v>
      </c>
      <c r="F824" s="5" t="s">
        <v>23</v>
      </c>
      <c r="G824" s="5" t="s">
        <v>24</v>
      </c>
      <c r="H824" s="5">
        <v>871684</v>
      </c>
      <c r="I824">
        <v>593</v>
      </c>
      <c r="J824">
        <v>1195566</v>
      </c>
      <c r="K824">
        <v>60</v>
      </c>
      <c r="L824">
        <v>14.26</v>
      </c>
      <c r="M824" t="s">
        <v>5</v>
      </c>
      <c r="N824" t="s">
        <v>44</v>
      </c>
      <c r="O824" t="s">
        <v>27</v>
      </c>
      <c r="P824">
        <v>22767.56</v>
      </c>
      <c r="Q824">
        <v>363142.41</v>
      </c>
      <c r="R824" t="s">
        <v>28</v>
      </c>
      <c r="S824" s="1">
        <v>45798</v>
      </c>
    </row>
    <row r="825" spans="1:19" x14ac:dyDescent="0.25">
      <c r="A825" s="5" t="s">
        <v>1687</v>
      </c>
      <c r="B825" s="5" t="s">
        <v>1688</v>
      </c>
      <c r="C825" s="5" t="s">
        <v>31</v>
      </c>
      <c r="D825" s="5">
        <v>50</v>
      </c>
      <c r="E825" s="5" t="s">
        <v>32</v>
      </c>
      <c r="F825" s="5" t="s">
        <v>42</v>
      </c>
      <c r="G825" s="5" t="s">
        <v>33</v>
      </c>
      <c r="H825" s="5">
        <v>1342738</v>
      </c>
      <c r="I825">
        <v>812</v>
      </c>
      <c r="J825">
        <v>893844</v>
      </c>
      <c r="K825">
        <v>84</v>
      </c>
      <c r="L825">
        <v>13.65</v>
      </c>
      <c r="M825" t="s">
        <v>25</v>
      </c>
      <c r="N825" t="s">
        <v>34</v>
      </c>
      <c r="O825" t="s">
        <v>27</v>
      </c>
      <c r="P825">
        <v>12093.5</v>
      </c>
      <c r="Q825">
        <v>401404.03</v>
      </c>
      <c r="R825" t="s">
        <v>28</v>
      </c>
      <c r="S825" s="1">
        <v>45607</v>
      </c>
    </row>
    <row r="826" spans="1:19" x14ac:dyDescent="0.25">
      <c r="A826" s="5" t="s">
        <v>1689</v>
      </c>
      <c r="B826" s="5" t="s">
        <v>1690</v>
      </c>
      <c r="C826" s="5" t="s">
        <v>31</v>
      </c>
      <c r="D826" s="5">
        <v>51</v>
      </c>
      <c r="E826" s="5" t="s">
        <v>32</v>
      </c>
      <c r="F826" s="5" t="s">
        <v>23</v>
      </c>
      <c r="G826" s="5" t="s">
        <v>33</v>
      </c>
      <c r="H826" s="5">
        <v>1856906</v>
      </c>
      <c r="I826">
        <v>708</v>
      </c>
      <c r="J826">
        <v>1533748</v>
      </c>
      <c r="K826">
        <v>60</v>
      </c>
      <c r="L826">
        <v>15.13</v>
      </c>
      <c r="M826" t="s">
        <v>54</v>
      </c>
      <c r="N826" t="s">
        <v>34</v>
      </c>
      <c r="O826" t="s">
        <v>27</v>
      </c>
      <c r="P826">
        <v>29430.07</v>
      </c>
      <c r="Q826">
        <v>1328716.1100000001</v>
      </c>
      <c r="R826" t="s">
        <v>28</v>
      </c>
      <c r="S826" s="1">
        <v>45450</v>
      </c>
    </row>
    <row r="827" spans="1:19" x14ac:dyDescent="0.25">
      <c r="A827" s="5" t="s">
        <v>1691</v>
      </c>
      <c r="B827" s="5" t="s">
        <v>1692</v>
      </c>
      <c r="C827" s="5" t="s">
        <v>21</v>
      </c>
      <c r="D827" s="5">
        <v>28</v>
      </c>
      <c r="E827" s="5" t="s">
        <v>22</v>
      </c>
      <c r="F827" s="5" t="s">
        <v>42</v>
      </c>
      <c r="G827" s="5" t="s">
        <v>24</v>
      </c>
      <c r="H827" s="5">
        <v>1931447</v>
      </c>
      <c r="I827">
        <v>566</v>
      </c>
      <c r="J827">
        <v>101457</v>
      </c>
      <c r="K827">
        <v>84</v>
      </c>
      <c r="L827">
        <v>13.13</v>
      </c>
      <c r="M827" t="s">
        <v>54</v>
      </c>
      <c r="N827" t="s">
        <v>44</v>
      </c>
      <c r="O827" t="s">
        <v>27</v>
      </c>
      <c r="P827">
        <v>1366.41</v>
      </c>
      <c r="Q827">
        <v>60577.35</v>
      </c>
      <c r="R827" t="s">
        <v>35</v>
      </c>
      <c r="S827" s="1">
        <v>45901</v>
      </c>
    </row>
    <row r="828" spans="1:19" x14ac:dyDescent="0.25">
      <c r="A828" s="5" t="s">
        <v>1693</v>
      </c>
      <c r="B828" s="5" t="s">
        <v>1694</v>
      </c>
      <c r="C828" s="5" t="s">
        <v>31</v>
      </c>
      <c r="D828" s="5">
        <v>22</v>
      </c>
      <c r="E828" s="5" t="s">
        <v>22</v>
      </c>
      <c r="F828" s="5" t="s">
        <v>23</v>
      </c>
      <c r="G828" s="5" t="s">
        <v>33</v>
      </c>
      <c r="H828" s="5">
        <v>996374</v>
      </c>
      <c r="I828">
        <v>687</v>
      </c>
      <c r="J828">
        <v>337174</v>
      </c>
      <c r="K828">
        <v>36</v>
      </c>
      <c r="L828">
        <v>9.36</v>
      </c>
      <c r="M828" t="s">
        <v>5</v>
      </c>
      <c r="N828" t="s">
        <v>34</v>
      </c>
      <c r="O828" t="s">
        <v>27</v>
      </c>
      <c r="P828">
        <v>10242.6</v>
      </c>
      <c r="Q828">
        <v>76307.95</v>
      </c>
      <c r="R828" t="s">
        <v>28</v>
      </c>
      <c r="S828" s="1">
        <v>45332</v>
      </c>
    </row>
    <row r="829" spans="1:19" x14ac:dyDescent="0.25">
      <c r="A829" s="5" t="s">
        <v>1695</v>
      </c>
      <c r="B829" s="5" t="s">
        <v>1696</v>
      </c>
      <c r="C829" s="5" t="s">
        <v>31</v>
      </c>
      <c r="D829" s="5">
        <v>34</v>
      </c>
      <c r="E829" s="5" t="s">
        <v>22</v>
      </c>
      <c r="F829" s="5" t="s">
        <v>23</v>
      </c>
      <c r="G829" s="5" t="s">
        <v>24</v>
      </c>
      <c r="H829" s="5">
        <v>1422054</v>
      </c>
      <c r="I829">
        <v>592</v>
      </c>
      <c r="J829">
        <v>954572</v>
      </c>
      <c r="K829">
        <v>12</v>
      </c>
      <c r="L829">
        <v>10.94</v>
      </c>
      <c r="M829" t="s">
        <v>54</v>
      </c>
      <c r="N829" t="s">
        <v>38</v>
      </c>
      <c r="O829" t="s">
        <v>27</v>
      </c>
      <c r="P829">
        <v>88250.18</v>
      </c>
      <c r="Q829">
        <v>376099.62</v>
      </c>
      <c r="R829" t="s">
        <v>28</v>
      </c>
      <c r="S829" s="1">
        <v>45738</v>
      </c>
    </row>
    <row r="830" spans="1:19" x14ac:dyDescent="0.25">
      <c r="A830" s="5" t="s">
        <v>1697</v>
      </c>
      <c r="B830" s="5" t="s">
        <v>1698</v>
      </c>
      <c r="C830" s="5" t="s">
        <v>31</v>
      </c>
      <c r="D830" s="5">
        <v>51</v>
      </c>
      <c r="E830" s="5" t="s">
        <v>22</v>
      </c>
      <c r="F830" s="5" t="s">
        <v>23</v>
      </c>
      <c r="G830" s="5" t="s">
        <v>24</v>
      </c>
      <c r="H830" s="5">
        <v>1305726</v>
      </c>
      <c r="I830">
        <v>704</v>
      </c>
      <c r="J830">
        <v>1961763</v>
      </c>
      <c r="K830">
        <v>48</v>
      </c>
      <c r="L830">
        <v>12.38</v>
      </c>
      <c r="M830" t="s">
        <v>43</v>
      </c>
      <c r="N830" t="s">
        <v>44</v>
      </c>
      <c r="O830" t="s">
        <v>27</v>
      </c>
      <c r="P830">
        <v>45929.78</v>
      </c>
      <c r="Q830">
        <v>630068.27</v>
      </c>
      <c r="R830" t="s">
        <v>28</v>
      </c>
      <c r="S830" s="1">
        <v>45960</v>
      </c>
    </row>
    <row r="831" spans="1:19" x14ac:dyDescent="0.25">
      <c r="A831" s="5" t="s">
        <v>1699</v>
      </c>
      <c r="B831" s="5" t="s">
        <v>1700</v>
      </c>
      <c r="C831" s="5" t="s">
        <v>21</v>
      </c>
      <c r="D831" s="5">
        <v>53</v>
      </c>
      <c r="E831" s="5" t="s">
        <v>22</v>
      </c>
      <c r="F831" s="5" t="s">
        <v>42</v>
      </c>
      <c r="G831" s="5" t="s">
        <v>33</v>
      </c>
      <c r="H831" s="5">
        <v>1916593</v>
      </c>
      <c r="I831">
        <v>608</v>
      </c>
      <c r="J831">
        <v>165327</v>
      </c>
      <c r="K831">
        <v>48</v>
      </c>
      <c r="L831">
        <v>8.19</v>
      </c>
      <c r="M831" t="s">
        <v>54</v>
      </c>
      <c r="N831" t="s">
        <v>44</v>
      </c>
      <c r="O831" t="s">
        <v>27</v>
      </c>
      <c r="P831">
        <v>3726.4</v>
      </c>
      <c r="Q831">
        <v>71880.84</v>
      </c>
      <c r="R831" t="s">
        <v>28</v>
      </c>
      <c r="S831" s="1">
        <v>45571</v>
      </c>
    </row>
    <row r="832" spans="1:19" x14ac:dyDescent="0.25">
      <c r="A832" s="5" t="s">
        <v>1701</v>
      </c>
      <c r="B832" s="5" t="s">
        <v>1702</v>
      </c>
      <c r="C832" s="5" t="s">
        <v>21</v>
      </c>
      <c r="D832" s="5">
        <v>52</v>
      </c>
      <c r="E832" s="5" t="s">
        <v>32</v>
      </c>
      <c r="F832" s="5" t="s">
        <v>23</v>
      </c>
      <c r="G832" s="5" t="s">
        <v>33</v>
      </c>
      <c r="H832" s="5">
        <v>1680504</v>
      </c>
      <c r="I832">
        <v>590</v>
      </c>
      <c r="J832">
        <v>1441256</v>
      </c>
      <c r="K832">
        <v>240</v>
      </c>
      <c r="L832">
        <v>7.99</v>
      </c>
      <c r="M832" t="s">
        <v>25</v>
      </c>
      <c r="N832" t="s">
        <v>44</v>
      </c>
      <c r="O832" t="s">
        <v>39</v>
      </c>
      <c r="P832">
        <v>6485.05</v>
      </c>
      <c r="Q832">
        <v>541640.91</v>
      </c>
      <c r="R832" t="s">
        <v>28</v>
      </c>
      <c r="S832" s="1">
        <v>45541</v>
      </c>
    </row>
    <row r="833" spans="1:19" x14ac:dyDescent="0.25">
      <c r="A833" s="5" t="s">
        <v>1703</v>
      </c>
      <c r="B833" s="5" t="s">
        <v>1704</v>
      </c>
      <c r="C833" s="5" t="s">
        <v>31</v>
      </c>
      <c r="D833" s="5">
        <v>37</v>
      </c>
      <c r="E833" s="5" t="s">
        <v>22</v>
      </c>
      <c r="F833" s="5" t="s">
        <v>42</v>
      </c>
      <c r="G833" s="5" t="s">
        <v>33</v>
      </c>
      <c r="H833" s="5">
        <v>918769</v>
      </c>
      <c r="I833">
        <v>643</v>
      </c>
      <c r="J833">
        <v>1020064</v>
      </c>
      <c r="K833">
        <v>84</v>
      </c>
      <c r="L833">
        <v>9.6</v>
      </c>
      <c r="M833" t="s">
        <v>43</v>
      </c>
      <c r="N833" t="s">
        <v>51</v>
      </c>
      <c r="O833" t="s">
        <v>27</v>
      </c>
      <c r="P833">
        <v>13309.41</v>
      </c>
      <c r="Q833">
        <v>915358.08</v>
      </c>
      <c r="R833" t="s">
        <v>28</v>
      </c>
      <c r="S833" s="1">
        <v>45562</v>
      </c>
    </row>
    <row r="834" spans="1:19" x14ac:dyDescent="0.25">
      <c r="A834" s="5" t="s">
        <v>1705</v>
      </c>
      <c r="B834" s="5" t="s">
        <v>1706</v>
      </c>
      <c r="C834" s="5" t="s">
        <v>21</v>
      </c>
      <c r="D834" s="5">
        <v>24</v>
      </c>
      <c r="E834" s="5" t="s">
        <v>22</v>
      </c>
      <c r="F834" s="5" t="s">
        <v>23</v>
      </c>
      <c r="G834" s="5" t="s">
        <v>33</v>
      </c>
      <c r="H834" s="5">
        <v>530580</v>
      </c>
      <c r="I834">
        <v>630</v>
      </c>
      <c r="J834">
        <v>810944</v>
      </c>
      <c r="K834">
        <v>84</v>
      </c>
      <c r="L834">
        <v>11.74</v>
      </c>
      <c r="M834" t="s">
        <v>57</v>
      </c>
      <c r="N834" t="s">
        <v>38</v>
      </c>
      <c r="O834" t="s">
        <v>27</v>
      </c>
      <c r="P834">
        <v>10787.49</v>
      </c>
      <c r="Q834">
        <v>159122.71</v>
      </c>
      <c r="R834" t="s">
        <v>28</v>
      </c>
      <c r="S834" s="1">
        <v>45732</v>
      </c>
    </row>
    <row r="835" spans="1:19" x14ac:dyDescent="0.25">
      <c r="A835" s="5" t="s">
        <v>1707</v>
      </c>
      <c r="B835" s="5" t="s">
        <v>1708</v>
      </c>
      <c r="C835" s="5" t="s">
        <v>21</v>
      </c>
      <c r="D835" s="5">
        <v>32</v>
      </c>
      <c r="E835" s="5" t="s">
        <v>32</v>
      </c>
      <c r="F835" s="5" t="s">
        <v>23</v>
      </c>
      <c r="G835" s="5" t="s">
        <v>33</v>
      </c>
      <c r="H835" s="5">
        <v>373429</v>
      </c>
      <c r="I835">
        <v>786</v>
      </c>
      <c r="J835">
        <v>224412</v>
      </c>
      <c r="K835">
        <v>36</v>
      </c>
      <c r="L835">
        <v>13.86</v>
      </c>
      <c r="M835" t="s">
        <v>54</v>
      </c>
      <c r="N835" t="s">
        <v>104</v>
      </c>
      <c r="O835" t="s">
        <v>39</v>
      </c>
      <c r="P835">
        <v>7097.65</v>
      </c>
      <c r="Q835">
        <v>110959.19</v>
      </c>
      <c r="R835" t="s">
        <v>28</v>
      </c>
      <c r="S835" s="1">
        <v>45783</v>
      </c>
    </row>
    <row r="836" spans="1:19" x14ac:dyDescent="0.25">
      <c r="A836" s="5" t="s">
        <v>1709</v>
      </c>
      <c r="B836" s="5" t="s">
        <v>1710</v>
      </c>
      <c r="C836" s="5" t="s">
        <v>31</v>
      </c>
      <c r="D836" s="5">
        <v>28</v>
      </c>
      <c r="E836" s="5" t="s">
        <v>32</v>
      </c>
      <c r="F836" s="5" t="s">
        <v>23</v>
      </c>
      <c r="G836" s="5" t="s">
        <v>33</v>
      </c>
      <c r="H836" s="5">
        <v>1698139</v>
      </c>
      <c r="I836">
        <v>766</v>
      </c>
      <c r="J836">
        <v>1546094</v>
      </c>
      <c r="K836">
        <v>120</v>
      </c>
      <c r="L836">
        <v>12.72</v>
      </c>
      <c r="M836" t="s">
        <v>5</v>
      </c>
      <c r="N836" t="s">
        <v>104</v>
      </c>
      <c r="O836" t="s">
        <v>27</v>
      </c>
      <c r="P836">
        <v>14522.98</v>
      </c>
      <c r="Q836">
        <v>1126425.06</v>
      </c>
      <c r="R836" t="s">
        <v>28</v>
      </c>
      <c r="S836" s="1">
        <v>45711</v>
      </c>
    </row>
    <row r="837" spans="1:19" x14ac:dyDescent="0.25">
      <c r="A837" s="5" t="s">
        <v>1711</v>
      </c>
      <c r="B837" s="5" t="s">
        <v>1712</v>
      </c>
      <c r="C837" s="5" t="s">
        <v>31</v>
      </c>
      <c r="D837" s="5">
        <v>58</v>
      </c>
      <c r="E837" s="5" t="s">
        <v>22</v>
      </c>
      <c r="F837" s="5" t="s">
        <v>23</v>
      </c>
      <c r="G837" s="5" t="s">
        <v>33</v>
      </c>
      <c r="H837" s="5">
        <v>633441</v>
      </c>
      <c r="I837">
        <v>654</v>
      </c>
      <c r="J837">
        <v>1875256</v>
      </c>
      <c r="K837">
        <v>60</v>
      </c>
      <c r="L837">
        <v>10.53</v>
      </c>
      <c r="M837" t="s">
        <v>54</v>
      </c>
      <c r="N837" t="s">
        <v>44</v>
      </c>
      <c r="O837" t="s">
        <v>27</v>
      </c>
      <c r="P837">
        <v>34545.339999999997</v>
      </c>
      <c r="Q837">
        <v>351735.46</v>
      </c>
      <c r="R837" t="s">
        <v>28</v>
      </c>
      <c r="S837" s="1">
        <v>45955</v>
      </c>
    </row>
    <row r="838" spans="1:19" x14ac:dyDescent="0.25">
      <c r="A838" s="5" t="s">
        <v>1713</v>
      </c>
      <c r="B838" s="5" t="s">
        <v>1714</v>
      </c>
      <c r="C838" s="5" t="s">
        <v>31</v>
      </c>
      <c r="D838" s="5">
        <v>52</v>
      </c>
      <c r="E838" s="5" t="s">
        <v>22</v>
      </c>
      <c r="F838" s="5" t="s">
        <v>42</v>
      </c>
      <c r="G838" s="5" t="s">
        <v>33</v>
      </c>
      <c r="H838" s="5">
        <v>1718611</v>
      </c>
      <c r="I838">
        <v>810</v>
      </c>
      <c r="J838">
        <v>949510</v>
      </c>
      <c r="K838">
        <v>36</v>
      </c>
      <c r="L838">
        <v>12.53</v>
      </c>
      <c r="M838" t="s">
        <v>54</v>
      </c>
      <c r="N838" t="s">
        <v>34</v>
      </c>
      <c r="O838" t="s">
        <v>27</v>
      </c>
      <c r="P838">
        <v>29680.1</v>
      </c>
      <c r="Q838">
        <v>505795.44</v>
      </c>
      <c r="R838" t="s">
        <v>28</v>
      </c>
      <c r="S838" s="1">
        <v>45327</v>
      </c>
    </row>
    <row r="839" spans="1:19" x14ac:dyDescent="0.25">
      <c r="A839" s="5" t="s">
        <v>1715</v>
      </c>
      <c r="B839" s="5" t="s">
        <v>1716</v>
      </c>
      <c r="C839" s="5" t="s">
        <v>21</v>
      </c>
      <c r="D839" s="5">
        <v>37</v>
      </c>
      <c r="E839" s="5" t="s">
        <v>22</v>
      </c>
      <c r="F839" s="5" t="s">
        <v>42</v>
      </c>
      <c r="G839" s="5" t="s">
        <v>24</v>
      </c>
      <c r="H839" s="5">
        <v>1063880</v>
      </c>
      <c r="I839">
        <v>584</v>
      </c>
      <c r="J839">
        <v>1334107</v>
      </c>
      <c r="K839">
        <v>84</v>
      </c>
      <c r="L839">
        <v>12.3</v>
      </c>
      <c r="M839" t="s">
        <v>54</v>
      </c>
      <c r="N839" t="s">
        <v>26</v>
      </c>
      <c r="O839" t="s">
        <v>39</v>
      </c>
      <c r="P839">
        <v>17835.740000000002</v>
      </c>
      <c r="Q839">
        <v>325837.42</v>
      </c>
      <c r="R839" t="s">
        <v>28</v>
      </c>
      <c r="S839" s="1">
        <v>45680</v>
      </c>
    </row>
    <row r="840" spans="1:19" x14ac:dyDescent="0.25">
      <c r="A840" s="5" t="s">
        <v>1717</v>
      </c>
      <c r="B840" s="5" t="s">
        <v>1718</v>
      </c>
      <c r="C840" s="5" t="s">
        <v>31</v>
      </c>
      <c r="D840" s="5">
        <v>33</v>
      </c>
      <c r="E840" s="5" t="s">
        <v>32</v>
      </c>
      <c r="F840" s="5" t="s">
        <v>23</v>
      </c>
      <c r="G840" s="5" t="s">
        <v>24</v>
      </c>
      <c r="H840" s="5">
        <v>717373</v>
      </c>
      <c r="I840">
        <v>763</v>
      </c>
      <c r="J840">
        <v>1662451</v>
      </c>
      <c r="K840">
        <v>120</v>
      </c>
      <c r="L840">
        <v>13.89</v>
      </c>
      <c r="M840" t="s">
        <v>43</v>
      </c>
      <c r="N840" t="s">
        <v>38</v>
      </c>
      <c r="O840" t="s">
        <v>27</v>
      </c>
      <c r="P840">
        <v>15778.05</v>
      </c>
      <c r="Q840">
        <v>771598.58</v>
      </c>
      <c r="R840" t="s">
        <v>28</v>
      </c>
      <c r="S840" s="1">
        <v>45756</v>
      </c>
    </row>
    <row r="841" spans="1:19" x14ac:dyDescent="0.25">
      <c r="A841" s="5" t="s">
        <v>1719</v>
      </c>
      <c r="B841" s="5" t="s">
        <v>1720</v>
      </c>
      <c r="C841" s="5" t="s">
        <v>31</v>
      </c>
      <c r="D841" s="5">
        <v>30</v>
      </c>
      <c r="E841" s="5" t="s">
        <v>22</v>
      </c>
      <c r="F841" s="5" t="s">
        <v>42</v>
      </c>
      <c r="G841" s="5" t="s">
        <v>33</v>
      </c>
      <c r="H841" s="5">
        <v>678349</v>
      </c>
      <c r="I841">
        <v>619</v>
      </c>
      <c r="J841">
        <v>146303</v>
      </c>
      <c r="K841">
        <v>36</v>
      </c>
      <c r="L841">
        <v>7.68</v>
      </c>
      <c r="M841" t="s">
        <v>54</v>
      </c>
      <c r="N841" t="s">
        <v>34</v>
      </c>
      <c r="O841" t="s">
        <v>27</v>
      </c>
      <c r="P841">
        <v>4376.09</v>
      </c>
      <c r="Q841">
        <v>25866.33</v>
      </c>
      <c r="R841" t="s">
        <v>28</v>
      </c>
      <c r="S841" s="1">
        <v>45605</v>
      </c>
    </row>
    <row r="842" spans="1:19" x14ac:dyDescent="0.25">
      <c r="A842" s="5" t="s">
        <v>1721</v>
      </c>
      <c r="B842" s="5" t="s">
        <v>1722</v>
      </c>
      <c r="C842" s="5" t="s">
        <v>21</v>
      </c>
      <c r="D842" s="5">
        <v>22</v>
      </c>
      <c r="E842" s="5" t="s">
        <v>22</v>
      </c>
      <c r="F842" s="5" t="s">
        <v>23</v>
      </c>
      <c r="G842" s="5" t="s">
        <v>33</v>
      </c>
      <c r="H842" s="5">
        <v>1936465</v>
      </c>
      <c r="I842">
        <v>690</v>
      </c>
      <c r="J842">
        <v>512817</v>
      </c>
      <c r="K842">
        <v>60</v>
      </c>
      <c r="L842">
        <v>8.8800000000000008</v>
      </c>
      <c r="M842" t="s">
        <v>25</v>
      </c>
      <c r="N842" t="s">
        <v>26</v>
      </c>
      <c r="O842" t="s">
        <v>27</v>
      </c>
      <c r="P842">
        <v>9305.92</v>
      </c>
      <c r="Q842">
        <v>329725.57</v>
      </c>
      <c r="R842" t="s">
        <v>28</v>
      </c>
      <c r="S842" s="1">
        <v>46017</v>
      </c>
    </row>
    <row r="843" spans="1:19" x14ac:dyDescent="0.25">
      <c r="A843" s="5" t="s">
        <v>1723</v>
      </c>
      <c r="B843" s="5" t="s">
        <v>1724</v>
      </c>
      <c r="C843" s="5" t="s">
        <v>21</v>
      </c>
      <c r="D843" s="5">
        <v>46</v>
      </c>
      <c r="E843" s="5" t="s">
        <v>32</v>
      </c>
      <c r="F843" s="5" t="s">
        <v>23</v>
      </c>
      <c r="G843" s="5" t="s">
        <v>33</v>
      </c>
      <c r="H843" s="5">
        <v>1374637</v>
      </c>
      <c r="I843">
        <v>833</v>
      </c>
      <c r="J843">
        <v>1632737</v>
      </c>
      <c r="K843">
        <v>120</v>
      </c>
      <c r="L843">
        <v>13.36</v>
      </c>
      <c r="M843" t="s">
        <v>54</v>
      </c>
      <c r="N843" t="s">
        <v>38</v>
      </c>
      <c r="O843" t="s">
        <v>27</v>
      </c>
      <c r="P843">
        <v>15423.92</v>
      </c>
      <c r="Q843">
        <v>448770.74</v>
      </c>
      <c r="R843" t="s">
        <v>28</v>
      </c>
      <c r="S843" s="1">
        <v>45528</v>
      </c>
    </row>
    <row r="844" spans="1:19" x14ac:dyDescent="0.25">
      <c r="A844" s="5" t="s">
        <v>1725</v>
      </c>
      <c r="B844" s="5" t="s">
        <v>1726</v>
      </c>
      <c r="C844" s="5" t="s">
        <v>21</v>
      </c>
      <c r="D844" s="5">
        <v>48</v>
      </c>
      <c r="E844" s="5" t="s">
        <v>22</v>
      </c>
      <c r="F844" s="5" t="s">
        <v>42</v>
      </c>
      <c r="G844" s="5" t="s">
        <v>33</v>
      </c>
      <c r="H844" s="5">
        <v>1507426</v>
      </c>
      <c r="I844">
        <v>735</v>
      </c>
      <c r="J844">
        <v>1481938</v>
      </c>
      <c r="K844">
        <v>120</v>
      </c>
      <c r="L844">
        <v>8.2100000000000009</v>
      </c>
      <c r="M844" t="s">
        <v>57</v>
      </c>
      <c r="N844" t="s">
        <v>38</v>
      </c>
      <c r="O844" t="s">
        <v>27</v>
      </c>
      <c r="P844">
        <v>13363.38</v>
      </c>
      <c r="Q844">
        <v>1024186.08</v>
      </c>
      <c r="R844" t="s">
        <v>28</v>
      </c>
      <c r="S844" s="1">
        <v>45776</v>
      </c>
    </row>
    <row r="845" spans="1:19" x14ac:dyDescent="0.25">
      <c r="A845" s="5" t="s">
        <v>1727</v>
      </c>
      <c r="B845" s="5" t="s">
        <v>1728</v>
      </c>
      <c r="C845" s="5" t="s">
        <v>31</v>
      </c>
      <c r="D845" s="5">
        <v>60</v>
      </c>
      <c r="E845" s="5" t="s">
        <v>22</v>
      </c>
      <c r="F845" s="5" t="s">
        <v>42</v>
      </c>
      <c r="G845" s="5" t="s">
        <v>33</v>
      </c>
      <c r="H845" s="5">
        <v>602865</v>
      </c>
      <c r="I845">
        <v>742</v>
      </c>
      <c r="J845">
        <v>1212506</v>
      </c>
      <c r="K845">
        <v>60</v>
      </c>
      <c r="L845">
        <v>14.39</v>
      </c>
      <c r="M845" t="s">
        <v>5</v>
      </c>
      <c r="N845" t="s">
        <v>51</v>
      </c>
      <c r="O845" t="s">
        <v>27</v>
      </c>
      <c r="P845">
        <v>23116.43</v>
      </c>
      <c r="Q845">
        <v>634786.14</v>
      </c>
      <c r="R845" t="s">
        <v>28</v>
      </c>
      <c r="S845" s="1">
        <v>45652</v>
      </c>
    </row>
    <row r="846" spans="1:19" x14ac:dyDescent="0.25">
      <c r="A846" s="5" t="s">
        <v>1729</v>
      </c>
      <c r="B846" s="5" t="s">
        <v>1730</v>
      </c>
      <c r="C846" s="5" t="s">
        <v>31</v>
      </c>
      <c r="D846" s="5">
        <v>29</v>
      </c>
      <c r="E846" s="5" t="s">
        <v>22</v>
      </c>
      <c r="F846" s="5" t="s">
        <v>42</v>
      </c>
      <c r="G846" s="5" t="s">
        <v>24</v>
      </c>
      <c r="H846" s="5">
        <v>1819889</v>
      </c>
      <c r="I846">
        <v>794</v>
      </c>
      <c r="J846">
        <v>1309844</v>
      </c>
      <c r="K846">
        <v>84</v>
      </c>
      <c r="L846">
        <v>9.39</v>
      </c>
      <c r="M846" t="s">
        <v>54</v>
      </c>
      <c r="N846" t="s">
        <v>104</v>
      </c>
      <c r="O846" t="s">
        <v>27</v>
      </c>
      <c r="P846">
        <v>17057.599999999999</v>
      </c>
      <c r="Q846">
        <v>874910.21</v>
      </c>
      <c r="R846" t="s">
        <v>28</v>
      </c>
      <c r="S846" s="1">
        <v>45507</v>
      </c>
    </row>
    <row r="847" spans="1:19" x14ac:dyDescent="0.25">
      <c r="A847" s="5" t="s">
        <v>1731</v>
      </c>
      <c r="B847" s="5" t="s">
        <v>1732</v>
      </c>
      <c r="C847" s="5" t="s">
        <v>31</v>
      </c>
      <c r="D847" s="5">
        <v>59</v>
      </c>
      <c r="E847" s="5" t="s">
        <v>32</v>
      </c>
      <c r="F847" s="5" t="s">
        <v>42</v>
      </c>
      <c r="G847" s="5" t="s">
        <v>24</v>
      </c>
      <c r="H847" s="5">
        <v>515338</v>
      </c>
      <c r="I847">
        <v>675</v>
      </c>
      <c r="J847">
        <v>1355277</v>
      </c>
      <c r="K847">
        <v>12</v>
      </c>
      <c r="L847">
        <v>11.75</v>
      </c>
      <c r="M847" t="s">
        <v>43</v>
      </c>
      <c r="N847" t="s">
        <v>44</v>
      </c>
      <c r="O847" t="s">
        <v>27</v>
      </c>
      <c r="P847">
        <v>126210.17</v>
      </c>
      <c r="Q847">
        <v>750393.12</v>
      </c>
      <c r="R847" t="s">
        <v>28</v>
      </c>
      <c r="S847" s="1">
        <v>45998</v>
      </c>
    </row>
    <row r="848" spans="1:19" x14ac:dyDescent="0.25">
      <c r="A848" s="5" t="s">
        <v>1733</v>
      </c>
      <c r="B848" s="5" t="s">
        <v>1734</v>
      </c>
      <c r="C848" s="5" t="s">
        <v>21</v>
      </c>
      <c r="D848" s="5">
        <v>52</v>
      </c>
      <c r="E848" s="5" t="s">
        <v>32</v>
      </c>
      <c r="F848" s="5" t="s">
        <v>23</v>
      </c>
      <c r="G848" s="5" t="s">
        <v>33</v>
      </c>
      <c r="H848" s="5">
        <v>1058339</v>
      </c>
      <c r="I848">
        <v>666</v>
      </c>
      <c r="J848">
        <v>1091176</v>
      </c>
      <c r="K848">
        <v>36</v>
      </c>
      <c r="L848">
        <v>9.6999999999999993</v>
      </c>
      <c r="M848" t="s">
        <v>54</v>
      </c>
      <c r="N848" t="s">
        <v>104</v>
      </c>
      <c r="O848" t="s">
        <v>27</v>
      </c>
      <c r="P848">
        <v>33250.559999999998</v>
      </c>
      <c r="Q848">
        <v>256663.54</v>
      </c>
      <c r="R848" t="s">
        <v>28</v>
      </c>
      <c r="S848" s="1">
        <v>45744</v>
      </c>
    </row>
    <row r="849" spans="1:19" x14ac:dyDescent="0.25">
      <c r="A849" s="5" t="s">
        <v>1735</v>
      </c>
      <c r="B849" s="5" t="s">
        <v>1736</v>
      </c>
      <c r="C849" s="5" t="s">
        <v>31</v>
      </c>
      <c r="D849" s="5">
        <v>40</v>
      </c>
      <c r="E849" s="5" t="s">
        <v>32</v>
      </c>
      <c r="F849" s="5" t="s">
        <v>23</v>
      </c>
      <c r="G849" s="5" t="s">
        <v>24</v>
      </c>
      <c r="H849" s="5">
        <v>544395</v>
      </c>
      <c r="I849">
        <v>576</v>
      </c>
      <c r="J849">
        <v>146795</v>
      </c>
      <c r="K849">
        <v>48</v>
      </c>
      <c r="L849">
        <v>13.26</v>
      </c>
      <c r="M849" t="s">
        <v>57</v>
      </c>
      <c r="N849" t="s">
        <v>44</v>
      </c>
      <c r="O849" t="s">
        <v>27</v>
      </c>
      <c r="P849">
        <v>3463.75</v>
      </c>
      <c r="Q849">
        <v>29153.31</v>
      </c>
      <c r="R849" t="s">
        <v>35</v>
      </c>
      <c r="S849" s="1">
        <v>45932</v>
      </c>
    </row>
    <row r="850" spans="1:19" x14ac:dyDescent="0.25">
      <c r="A850" s="5" t="s">
        <v>1737</v>
      </c>
      <c r="B850" s="5" t="s">
        <v>1738</v>
      </c>
      <c r="C850" s="5" t="s">
        <v>21</v>
      </c>
      <c r="D850" s="5">
        <v>39</v>
      </c>
      <c r="E850" s="5" t="s">
        <v>32</v>
      </c>
      <c r="F850" s="5" t="s">
        <v>23</v>
      </c>
      <c r="G850" s="5" t="s">
        <v>33</v>
      </c>
      <c r="H850" s="5">
        <v>1566399</v>
      </c>
      <c r="I850">
        <v>699</v>
      </c>
      <c r="J850">
        <v>1406843</v>
      </c>
      <c r="K850">
        <v>180</v>
      </c>
      <c r="L850">
        <v>14.17</v>
      </c>
      <c r="M850" t="s">
        <v>5</v>
      </c>
      <c r="N850" t="s">
        <v>104</v>
      </c>
      <c r="O850" t="s">
        <v>27</v>
      </c>
      <c r="P850">
        <v>8923.2900000000009</v>
      </c>
      <c r="Q850">
        <v>1060549</v>
      </c>
      <c r="R850" t="s">
        <v>28</v>
      </c>
      <c r="S850" s="1">
        <v>45452</v>
      </c>
    </row>
    <row r="851" spans="1:19" x14ac:dyDescent="0.25">
      <c r="A851" s="5" t="s">
        <v>1739</v>
      </c>
      <c r="B851" s="5" t="s">
        <v>1740</v>
      </c>
      <c r="C851" s="5" t="s">
        <v>21</v>
      </c>
      <c r="D851" s="5">
        <v>29</v>
      </c>
      <c r="E851" s="5" t="s">
        <v>32</v>
      </c>
      <c r="F851" s="5" t="s">
        <v>23</v>
      </c>
      <c r="G851" s="5" t="s">
        <v>33</v>
      </c>
      <c r="H851" s="5">
        <v>542381</v>
      </c>
      <c r="I851">
        <v>822</v>
      </c>
      <c r="J851">
        <v>1127406</v>
      </c>
      <c r="K851">
        <v>180</v>
      </c>
      <c r="L851">
        <v>12.92</v>
      </c>
      <c r="M851" t="s">
        <v>43</v>
      </c>
      <c r="N851" t="s">
        <v>44</v>
      </c>
      <c r="O851" t="s">
        <v>27</v>
      </c>
      <c r="P851">
        <v>7072.59</v>
      </c>
      <c r="Q851">
        <v>946192.96</v>
      </c>
      <c r="R851" t="s">
        <v>28</v>
      </c>
      <c r="S851" s="1">
        <v>45634</v>
      </c>
    </row>
    <row r="852" spans="1:19" x14ac:dyDescent="0.25">
      <c r="A852" s="5" t="s">
        <v>1741</v>
      </c>
      <c r="B852" s="5" t="s">
        <v>1742</v>
      </c>
      <c r="C852" s="5" t="s">
        <v>31</v>
      </c>
      <c r="D852" s="5">
        <v>37</v>
      </c>
      <c r="E852" s="5" t="s">
        <v>22</v>
      </c>
      <c r="F852" s="5" t="s">
        <v>42</v>
      </c>
      <c r="G852" s="5" t="s">
        <v>24</v>
      </c>
      <c r="H852" s="5">
        <v>1290452</v>
      </c>
      <c r="I852">
        <v>816</v>
      </c>
      <c r="J852">
        <v>920950</v>
      </c>
      <c r="K852">
        <v>24</v>
      </c>
      <c r="L852">
        <v>7.75</v>
      </c>
      <c r="M852" t="s">
        <v>25</v>
      </c>
      <c r="N852" t="s">
        <v>44</v>
      </c>
      <c r="O852" t="s">
        <v>27</v>
      </c>
      <c r="P852">
        <v>41346.82</v>
      </c>
      <c r="Q852">
        <v>908211.12</v>
      </c>
      <c r="R852" t="s">
        <v>28</v>
      </c>
      <c r="S852" s="1">
        <v>45925</v>
      </c>
    </row>
    <row r="853" spans="1:19" x14ac:dyDescent="0.25">
      <c r="A853" s="5" t="s">
        <v>1743</v>
      </c>
      <c r="B853" s="5" t="s">
        <v>1744</v>
      </c>
      <c r="C853" s="5" t="s">
        <v>31</v>
      </c>
      <c r="D853" s="5">
        <v>58</v>
      </c>
      <c r="E853" s="5" t="s">
        <v>22</v>
      </c>
      <c r="F853" s="5" t="s">
        <v>23</v>
      </c>
      <c r="G853" s="5" t="s">
        <v>33</v>
      </c>
      <c r="H853" s="5">
        <v>1685807</v>
      </c>
      <c r="I853">
        <v>621</v>
      </c>
      <c r="J853">
        <v>1473653</v>
      </c>
      <c r="K853">
        <v>84</v>
      </c>
      <c r="L853">
        <v>13.68</v>
      </c>
      <c r="M853" t="s">
        <v>54</v>
      </c>
      <c r="N853" t="s">
        <v>34</v>
      </c>
      <c r="O853" t="s">
        <v>27</v>
      </c>
      <c r="P853">
        <v>19943.439999999999</v>
      </c>
      <c r="Q853">
        <v>417530.95</v>
      </c>
      <c r="R853" t="s">
        <v>28</v>
      </c>
      <c r="S853" s="1">
        <v>45679</v>
      </c>
    </row>
    <row r="854" spans="1:19" x14ac:dyDescent="0.25">
      <c r="A854" s="5" t="s">
        <v>1745</v>
      </c>
      <c r="B854" s="5" t="s">
        <v>1746</v>
      </c>
      <c r="C854" s="5" t="s">
        <v>31</v>
      </c>
      <c r="D854" s="5">
        <v>44</v>
      </c>
      <c r="E854" s="5" t="s">
        <v>32</v>
      </c>
      <c r="F854" s="5" t="s">
        <v>42</v>
      </c>
      <c r="G854" s="5" t="s">
        <v>24</v>
      </c>
      <c r="H854" s="5">
        <v>380233</v>
      </c>
      <c r="I854">
        <v>558</v>
      </c>
      <c r="J854">
        <v>1067491</v>
      </c>
      <c r="K854">
        <v>60</v>
      </c>
      <c r="L854">
        <v>15.21</v>
      </c>
      <c r="M854" t="s">
        <v>43</v>
      </c>
      <c r="N854" t="s">
        <v>51</v>
      </c>
      <c r="O854" t="s">
        <v>39</v>
      </c>
      <c r="P854">
        <v>20497.61</v>
      </c>
      <c r="Q854">
        <v>135435.9</v>
      </c>
      <c r="R854" t="s">
        <v>28</v>
      </c>
      <c r="S854" s="1">
        <v>45450</v>
      </c>
    </row>
    <row r="855" spans="1:19" x14ac:dyDescent="0.25">
      <c r="A855" s="5" t="s">
        <v>1747</v>
      </c>
      <c r="B855" s="5" t="s">
        <v>1748</v>
      </c>
      <c r="C855" s="5" t="s">
        <v>31</v>
      </c>
      <c r="D855" s="5">
        <v>21</v>
      </c>
      <c r="E855" s="5" t="s">
        <v>22</v>
      </c>
      <c r="F855" s="5" t="s">
        <v>23</v>
      </c>
      <c r="G855" s="5" t="s">
        <v>33</v>
      </c>
      <c r="H855" s="5">
        <v>1143598</v>
      </c>
      <c r="I855">
        <v>727</v>
      </c>
      <c r="J855">
        <v>1556317</v>
      </c>
      <c r="K855">
        <v>60</v>
      </c>
      <c r="L855">
        <v>9.8800000000000008</v>
      </c>
      <c r="M855" t="s">
        <v>5</v>
      </c>
      <c r="N855" t="s">
        <v>44</v>
      </c>
      <c r="O855" t="s">
        <v>27</v>
      </c>
      <c r="P855">
        <v>28501.35</v>
      </c>
      <c r="Q855">
        <v>734171.18</v>
      </c>
      <c r="R855" t="s">
        <v>28</v>
      </c>
      <c r="S855" s="1">
        <v>45875</v>
      </c>
    </row>
    <row r="856" spans="1:19" x14ac:dyDescent="0.25">
      <c r="A856" s="5" t="s">
        <v>1749</v>
      </c>
      <c r="B856" s="5" t="s">
        <v>1750</v>
      </c>
      <c r="C856" s="5" t="s">
        <v>31</v>
      </c>
      <c r="D856" s="5">
        <v>48</v>
      </c>
      <c r="E856" s="5" t="s">
        <v>22</v>
      </c>
      <c r="F856" s="5" t="s">
        <v>23</v>
      </c>
      <c r="G856" s="5" t="s">
        <v>33</v>
      </c>
      <c r="H856" s="5">
        <v>489366</v>
      </c>
      <c r="I856">
        <v>659</v>
      </c>
      <c r="J856">
        <v>181417</v>
      </c>
      <c r="K856">
        <v>180</v>
      </c>
      <c r="L856">
        <v>9.19</v>
      </c>
      <c r="M856" t="s">
        <v>43</v>
      </c>
      <c r="N856" t="s">
        <v>104</v>
      </c>
      <c r="O856" t="s">
        <v>27</v>
      </c>
      <c r="P856">
        <v>1100.5</v>
      </c>
      <c r="Q856">
        <v>58618.6</v>
      </c>
      <c r="R856" t="s">
        <v>28</v>
      </c>
      <c r="S856" s="1">
        <v>45569</v>
      </c>
    </row>
    <row r="857" spans="1:19" x14ac:dyDescent="0.25">
      <c r="A857" s="5" t="s">
        <v>1751</v>
      </c>
      <c r="B857" s="5" t="s">
        <v>1752</v>
      </c>
      <c r="C857" s="5" t="s">
        <v>21</v>
      </c>
      <c r="D857" s="5">
        <v>48</v>
      </c>
      <c r="E857" s="5" t="s">
        <v>32</v>
      </c>
      <c r="F857" s="5" t="s">
        <v>23</v>
      </c>
      <c r="G857" s="5" t="s">
        <v>24</v>
      </c>
      <c r="H857" s="5">
        <v>679291</v>
      </c>
      <c r="I857">
        <v>718</v>
      </c>
      <c r="J857">
        <v>802570</v>
      </c>
      <c r="K857">
        <v>36</v>
      </c>
      <c r="L857">
        <v>14.08</v>
      </c>
      <c r="M857" t="s">
        <v>25</v>
      </c>
      <c r="N857" t="s">
        <v>38</v>
      </c>
      <c r="O857" t="s">
        <v>27</v>
      </c>
      <c r="P857">
        <v>25432.55</v>
      </c>
      <c r="Q857">
        <v>164067.47</v>
      </c>
      <c r="R857" t="s">
        <v>28</v>
      </c>
      <c r="S857" s="1">
        <v>45330</v>
      </c>
    </row>
    <row r="858" spans="1:19" x14ac:dyDescent="0.25">
      <c r="A858" s="5" t="s">
        <v>1753</v>
      </c>
      <c r="B858" s="5" t="s">
        <v>1754</v>
      </c>
      <c r="C858" s="5" t="s">
        <v>31</v>
      </c>
      <c r="D858" s="5">
        <v>38</v>
      </c>
      <c r="E858" s="5" t="s">
        <v>22</v>
      </c>
      <c r="F858" s="5" t="s">
        <v>23</v>
      </c>
      <c r="G858" s="5" t="s">
        <v>24</v>
      </c>
      <c r="H858" s="5">
        <v>1459239</v>
      </c>
      <c r="I858">
        <v>799</v>
      </c>
      <c r="J858">
        <v>1187213</v>
      </c>
      <c r="K858">
        <v>120</v>
      </c>
      <c r="L858">
        <v>9.07</v>
      </c>
      <c r="M858" t="s">
        <v>54</v>
      </c>
      <c r="N858" t="s">
        <v>38</v>
      </c>
      <c r="O858" t="s">
        <v>27</v>
      </c>
      <c r="P858">
        <v>10790.78</v>
      </c>
      <c r="Q858">
        <v>839756.1</v>
      </c>
      <c r="R858" t="s">
        <v>28</v>
      </c>
      <c r="S858" s="1">
        <v>45547</v>
      </c>
    </row>
    <row r="859" spans="1:19" x14ac:dyDescent="0.25">
      <c r="A859" s="5" t="s">
        <v>1755</v>
      </c>
      <c r="B859" s="5" t="s">
        <v>1756</v>
      </c>
      <c r="C859" s="5" t="s">
        <v>31</v>
      </c>
      <c r="D859" s="5">
        <v>49</v>
      </c>
      <c r="E859" s="5" t="s">
        <v>22</v>
      </c>
      <c r="F859" s="5" t="s">
        <v>23</v>
      </c>
      <c r="G859" s="5" t="s">
        <v>24</v>
      </c>
      <c r="H859" s="5">
        <v>1586348</v>
      </c>
      <c r="I859">
        <v>687</v>
      </c>
      <c r="J859">
        <v>134753</v>
      </c>
      <c r="K859">
        <v>180</v>
      </c>
      <c r="L859">
        <v>9.52</v>
      </c>
      <c r="M859" t="s">
        <v>25</v>
      </c>
      <c r="N859" t="s">
        <v>38</v>
      </c>
      <c r="O859" t="s">
        <v>27</v>
      </c>
      <c r="P859">
        <v>819.9</v>
      </c>
      <c r="Q859">
        <v>20375.419999999998</v>
      </c>
      <c r="R859" t="s">
        <v>28</v>
      </c>
      <c r="S859" s="1">
        <v>45871</v>
      </c>
    </row>
    <row r="860" spans="1:19" x14ac:dyDescent="0.25">
      <c r="A860" s="5" t="s">
        <v>1757</v>
      </c>
      <c r="B860" s="5" t="s">
        <v>1758</v>
      </c>
      <c r="C860" s="5" t="s">
        <v>21</v>
      </c>
      <c r="D860" s="5">
        <v>45</v>
      </c>
      <c r="E860" s="5" t="s">
        <v>22</v>
      </c>
      <c r="F860" s="5" t="s">
        <v>42</v>
      </c>
      <c r="G860" s="5" t="s">
        <v>24</v>
      </c>
      <c r="H860" s="5">
        <v>658163</v>
      </c>
      <c r="I860">
        <v>667</v>
      </c>
      <c r="J860">
        <v>1726376</v>
      </c>
      <c r="K860">
        <v>12</v>
      </c>
      <c r="L860">
        <v>9.75</v>
      </c>
      <c r="M860" t="s">
        <v>57</v>
      </c>
      <c r="N860" t="s">
        <v>44</v>
      </c>
      <c r="O860" t="s">
        <v>27</v>
      </c>
      <c r="P860">
        <v>157891.47</v>
      </c>
      <c r="Q860">
        <v>705418.8</v>
      </c>
      <c r="R860" t="s">
        <v>28</v>
      </c>
      <c r="S860" s="1">
        <v>45934</v>
      </c>
    </row>
    <row r="861" spans="1:19" x14ac:dyDescent="0.25">
      <c r="A861" s="5" t="s">
        <v>1759</v>
      </c>
      <c r="B861" s="5" t="s">
        <v>1760</v>
      </c>
      <c r="C861" s="5" t="s">
        <v>31</v>
      </c>
      <c r="D861" s="5">
        <v>34</v>
      </c>
      <c r="E861" s="5" t="s">
        <v>22</v>
      </c>
      <c r="F861" s="5" t="s">
        <v>42</v>
      </c>
      <c r="G861" s="5" t="s">
        <v>24</v>
      </c>
      <c r="H861" s="5">
        <v>1600822</v>
      </c>
      <c r="I861">
        <v>773</v>
      </c>
      <c r="J861">
        <v>485367</v>
      </c>
      <c r="K861">
        <v>84</v>
      </c>
      <c r="L861">
        <v>14.29</v>
      </c>
      <c r="M861" t="s">
        <v>54</v>
      </c>
      <c r="N861" t="s">
        <v>38</v>
      </c>
      <c r="O861" t="s">
        <v>27</v>
      </c>
      <c r="P861">
        <v>6603.88</v>
      </c>
      <c r="Q861">
        <v>97026.02</v>
      </c>
      <c r="R861" t="s">
        <v>28</v>
      </c>
      <c r="S861" s="1">
        <v>45825</v>
      </c>
    </row>
    <row r="862" spans="1:19" x14ac:dyDescent="0.25">
      <c r="A862" s="5" t="s">
        <v>1761</v>
      </c>
      <c r="B862" s="5" t="s">
        <v>1762</v>
      </c>
      <c r="C862" s="5" t="s">
        <v>31</v>
      </c>
      <c r="D862" s="5">
        <v>43</v>
      </c>
      <c r="E862" s="5" t="s">
        <v>32</v>
      </c>
      <c r="F862" s="5" t="s">
        <v>42</v>
      </c>
      <c r="G862" s="5" t="s">
        <v>24</v>
      </c>
      <c r="H862" s="5">
        <v>1834312</v>
      </c>
      <c r="I862">
        <v>800</v>
      </c>
      <c r="J862">
        <v>1580684</v>
      </c>
      <c r="K862">
        <v>84</v>
      </c>
      <c r="L862">
        <v>9.1300000000000008</v>
      </c>
      <c r="M862" t="s">
        <v>25</v>
      </c>
      <c r="N862" t="s">
        <v>44</v>
      </c>
      <c r="O862" t="s">
        <v>27</v>
      </c>
      <c r="P862">
        <v>20535.72</v>
      </c>
      <c r="Q862">
        <v>1099903.08</v>
      </c>
      <c r="R862" t="s">
        <v>28</v>
      </c>
      <c r="S862" s="1">
        <v>45574</v>
      </c>
    </row>
    <row r="863" spans="1:19" x14ac:dyDescent="0.25">
      <c r="A863" s="5" t="s">
        <v>1763</v>
      </c>
      <c r="B863" s="5" t="s">
        <v>1764</v>
      </c>
      <c r="C863" s="5" t="s">
        <v>21</v>
      </c>
      <c r="D863" s="5">
        <v>45</v>
      </c>
      <c r="E863" s="5" t="s">
        <v>22</v>
      </c>
      <c r="F863" s="5" t="s">
        <v>42</v>
      </c>
      <c r="G863" s="5" t="s">
        <v>24</v>
      </c>
      <c r="H863" s="5">
        <v>1496598</v>
      </c>
      <c r="I863">
        <v>716</v>
      </c>
      <c r="J863">
        <v>1753986</v>
      </c>
      <c r="K863">
        <v>84</v>
      </c>
      <c r="L863">
        <v>13.74</v>
      </c>
      <c r="M863" t="s">
        <v>25</v>
      </c>
      <c r="N863" t="s">
        <v>26</v>
      </c>
      <c r="O863" t="s">
        <v>27</v>
      </c>
      <c r="P863">
        <v>23749.81</v>
      </c>
      <c r="Q863">
        <v>890478.4</v>
      </c>
      <c r="R863" t="s">
        <v>28</v>
      </c>
      <c r="S863" s="1">
        <v>45496</v>
      </c>
    </row>
    <row r="864" spans="1:19" x14ac:dyDescent="0.25">
      <c r="A864" s="5" t="s">
        <v>1765</v>
      </c>
      <c r="B864" s="5" t="s">
        <v>1766</v>
      </c>
      <c r="C864" s="5" t="s">
        <v>21</v>
      </c>
      <c r="D864" s="5">
        <v>54</v>
      </c>
      <c r="E864" s="5" t="s">
        <v>22</v>
      </c>
      <c r="F864" s="5" t="s">
        <v>42</v>
      </c>
      <c r="G864" s="5" t="s">
        <v>33</v>
      </c>
      <c r="H864" s="5">
        <v>1374382</v>
      </c>
      <c r="I864">
        <v>683</v>
      </c>
      <c r="J864">
        <v>636432</v>
      </c>
      <c r="K864">
        <v>120</v>
      </c>
      <c r="L864">
        <v>9.7100000000000009</v>
      </c>
      <c r="M864" t="s">
        <v>25</v>
      </c>
      <c r="N864" t="s">
        <v>44</v>
      </c>
      <c r="O864" t="s">
        <v>27</v>
      </c>
      <c r="P864">
        <v>5818.58</v>
      </c>
      <c r="Q864">
        <v>468813.38</v>
      </c>
      <c r="R864" t="s">
        <v>28</v>
      </c>
      <c r="S864" s="1">
        <v>45393</v>
      </c>
    </row>
    <row r="865" spans="1:19" x14ac:dyDescent="0.25">
      <c r="A865" s="5" t="s">
        <v>1767</v>
      </c>
      <c r="B865" s="5" t="s">
        <v>1768</v>
      </c>
      <c r="C865" s="5" t="s">
        <v>21</v>
      </c>
      <c r="D865" s="5">
        <v>51</v>
      </c>
      <c r="E865" s="5" t="s">
        <v>22</v>
      </c>
      <c r="F865" s="5" t="s">
        <v>23</v>
      </c>
      <c r="G865" s="5" t="s">
        <v>33</v>
      </c>
      <c r="H865" s="5">
        <v>1768550</v>
      </c>
      <c r="I865">
        <v>734</v>
      </c>
      <c r="J865">
        <v>544045</v>
      </c>
      <c r="K865">
        <v>84</v>
      </c>
      <c r="L865">
        <v>9.3000000000000007</v>
      </c>
      <c r="M865" t="s">
        <v>25</v>
      </c>
      <c r="N865" t="s">
        <v>38</v>
      </c>
      <c r="O865" t="s">
        <v>27</v>
      </c>
      <c r="P865">
        <v>7079.06</v>
      </c>
      <c r="Q865">
        <v>373978.32</v>
      </c>
      <c r="R865" t="s">
        <v>28</v>
      </c>
      <c r="S865" s="1">
        <v>45989</v>
      </c>
    </row>
    <row r="866" spans="1:19" x14ac:dyDescent="0.25">
      <c r="A866" s="5" t="s">
        <v>1769</v>
      </c>
      <c r="B866" s="5" t="s">
        <v>1770</v>
      </c>
      <c r="C866" s="5" t="s">
        <v>31</v>
      </c>
      <c r="D866" s="5">
        <v>56</v>
      </c>
      <c r="E866" s="5" t="s">
        <v>32</v>
      </c>
      <c r="F866" s="5" t="s">
        <v>23</v>
      </c>
      <c r="G866" s="5" t="s">
        <v>33</v>
      </c>
      <c r="H866" s="5">
        <v>1825598</v>
      </c>
      <c r="I866">
        <v>698</v>
      </c>
      <c r="J866">
        <v>1687805</v>
      </c>
      <c r="K866">
        <v>240</v>
      </c>
      <c r="L866">
        <v>8.66</v>
      </c>
      <c r="M866" t="s">
        <v>57</v>
      </c>
      <c r="N866" t="s">
        <v>44</v>
      </c>
      <c r="O866" t="s">
        <v>27</v>
      </c>
      <c r="P866">
        <v>7641.54</v>
      </c>
      <c r="Q866">
        <v>1399997.79</v>
      </c>
      <c r="R866" t="s">
        <v>28</v>
      </c>
      <c r="S866" s="1">
        <v>45927</v>
      </c>
    </row>
    <row r="867" spans="1:19" x14ac:dyDescent="0.25">
      <c r="A867" s="5" t="s">
        <v>1771</v>
      </c>
      <c r="B867" s="5" t="s">
        <v>1772</v>
      </c>
      <c r="C867" s="5" t="s">
        <v>21</v>
      </c>
      <c r="D867" s="5">
        <v>29</v>
      </c>
      <c r="E867" s="5" t="s">
        <v>22</v>
      </c>
      <c r="F867" s="5" t="s">
        <v>23</v>
      </c>
      <c r="G867" s="5" t="s">
        <v>33</v>
      </c>
      <c r="H867" s="5">
        <v>977882</v>
      </c>
      <c r="I867">
        <v>841</v>
      </c>
      <c r="J867">
        <v>1702283</v>
      </c>
      <c r="K867">
        <v>60</v>
      </c>
      <c r="L867">
        <v>8.93</v>
      </c>
      <c r="M867" t="s">
        <v>43</v>
      </c>
      <c r="N867" t="s">
        <v>51</v>
      </c>
      <c r="O867" t="s">
        <v>27</v>
      </c>
      <c r="P867">
        <v>30904.95</v>
      </c>
      <c r="Q867">
        <v>779278.78</v>
      </c>
      <c r="R867" t="s">
        <v>28</v>
      </c>
      <c r="S867" s="1">
        <v>45663</v>
      </c>
    </row>
    <row r="868" spans="1:19" x14ac:dyDescent="0.25">
      <c r="A868" s="5" t="s">
        <v>1773</v>
      </c>
      <c r="B868" s="5" t="s">
        <v>1774</v>
      </c>
      <c r="C868" s="5" t="s">
        <v>21</v>
      </c>
      <c r="D868" s="5">
        <v>59</v>
      </c>
      <c r="E868" s="5" t="s">
        <v>32</v>
      </c>
      <c r="F868" s="5" t="s">
        <v>42</v>
      </c>
      <c r="G868" s="5" t="s">
        <v>33</v>
      </c>
      <c r="H868" s="5">
        <v>379376</v>
      </c>
      <c r="I868">
        <v>585</v>
      </c>
      <c r="J868">
        <v>1553997</v>
      </c>
      <c r="K868">
        <v>48</v>
      </c>
      <c r="L868">
        <v>13.83</v>
      </c>
      <c r="M868" t="s">
        <v>25</v>
      </c>
      <c r="N868" t="s">
        <v>51</v>
      </c>
      <c r="O868" t="s">
        <v>27</v>
      </c>
      <c r="P868">
        <v>36852.39</v>
      </c>
      <c r="Q868">
        <v>351352.49</v>
      </c>
      <c r="R868" t="s">
        <v>35</v>
      </c>
      <c r="S868" s="1">
        <v>45322</v>
      </c>
    </row>
    <row r="869" spans="1:19" x14ac:dyDescent="0.25">
      <c r="A869" s="5" t="s">
        <v>1775</v>
      </c>
      <c r="B869" s="5" t="s">
        <v>1776</v>
      </c>
      <c r="C869" s="5" t="s">
        <v>21</v>
      </c>
      <c r="D869" s="5">
        <v>46</v>
      </c>
      <c r="E869" s="5" t="s">
        <v>22</v>
      </c>
      <c r="F869" s="5" t="s">
        <v>42</v>
      </c>
      <c r="G869" s="5" t="s">
        <v>24</v>
      </c>
      <c r="H869" s="5">
        <v>1834781</v>
      </c>
      <c r="I869">
        <v>736</v>
      </c>
      <c r="J869">
        <v>1386692</v>
      </c>
      <c r="K869">
        <v>24</v>
      </c>
      <c r="L869">
        <v>8.39</v>
      </c>
      <c r="M869" t="s">
        <v>25</v>
      </c>
      <c r="N869" t="s">
        <v>104</v>
      </c>
      <c r="O869" t="s">
        <v>27</v>
      </c>
      <c r="P869">
        <v>62626.48</v>
      </c>
      <c r="Q869">
        <v>774992.56</v>
      </c>
      <c r="R869" t="s">
        <v>28</v>
      </c>
      <c r="S869" s="1">
        <v>45581</v>
      </c>
    </row>
    <row r="870" spans="1:19" x14ac:dyDescent="0.25">
      <c r="A870" s="5" t="s">
        <v>1777</v>
      </c>
      <c r="B870" s="5" t="s">
        <v>1778</v>
      </c>
      <c r="C870" s="5" t="s">
        <v>21</v>
      </c>
      <c r="D870" s="5">
        <v>50</v>
      </c>
      <c r="E870" s="5" t="s">
        <v>32</v>
      </c>
      <c r="F870" s="5" t="s">
        <v>42</v>
      </c>
      <c r="G870" s="5" t="s">
        <v>24</v>
      </c>
      <c r="H870" s="5">
        <v>1494611</v>
      </c>
      <c r="I870">
        <v>646</v>
      </c>
      <c r="J870">
        <v>920446</v>
      </c>
      <c r="K870">
        <v>36</v>
      </c>
      <c r="L870">
        <v>15.05</v>
      </c>
      <c r="M870" t="s">
        <v>54</v>
      </c>
      <c r="N870" t="s">
        <v>26</v>
      </c>
      <c r="O870" t="s">
        <v>39</v>
      </c>
      <c r="P870">
        <v>29415.919999999998</v>
      </c>
      <c r="Q870">
        <v>714590.42</v>
      </c>
      <c r="R870" t="s">
        <v>28</v>
      </c>
      <c r="S870" s="1">
        <v>45763</v>
      </c>
    </row>
    <row r="871" spans="1:19" x14ac:dyDescent="0.25">
      <c r="A871" s="5" t="s">
        <v>1779</v>
      </c>
      <c r="B871" s="5" t="s">
        <v>1780</v>
      </c>
      <c r="C871" s="5" t="s">
        <v>21</v>
      </c>
      <c r="D871" s="5">
        <v>23</v>
      </c>
      <c r="E871" s="5" t="s">
        <v>32</v>
      </c>
      <c r="F871" s="5" t="s">
        <v>23</v>
      </c>
      <c r="G871" s="5" t="s">
        <v>33</v>
      </c>
      <c r="H871" s="5">
        <v>951335</v>
      </c>
      <c r="I871">
        <v>640</v>
      </c>
      <c r="J871">
        <v>489786</v>
      </c>
      <c r="K871">
        <v>120</v>
      </c>
      <c r="L871">
        <v>12.77</v>
      </c>
      <c r="M871" t="s">
        <v>54</v>
      </c>
      <c r="N871" t="s">
        <v>38</v>
      </c>
      <c r="O871" t="s">
        <v>39</v>
      </c>
      <c r="P871">
        <v>4602.76</v>
      </c>
      <c r="Q871">
        <v>244595.42</v>
      </c>
      <c r="R871" t="s">
        <v>28</v>
      </c>
      <c r="S871" s="1">
        <v>45493</v>
      </c>
    </row>
    <row r="872" spans="1:19" x14ac:dyDescent="0.25">
      <c r="A872" s="5" t="s">
        <v>1781</v>
      </c>
      <c r="B872" s="5" t="s">
        <v>1782</v>
      </c>
      <c r="C872" s="5" t="s">
        <v>21</v>
      </c>
      <c r="D872" s="5">
        <v>35</v>
      </c>
      <c r="E872" s="5" t="s">
        <v>32</v>
      </c>
      <c r="F872" s="5" t="s">
        <v>42</v>
      </c>
      <c r="G872" s="5" t="s">
        <v>24</v>
      </c>
      <c r="H872" s="5">
        <v>328040</v>
      </c>
      <c r="I872">
        <v>835</v>
      </c>
      <c r="J872">
        <v>1451972</v>
      </c>
      <c r="K872">
        <v>48</v>
      </c>
      <c r="L872">
        <v>9.07</v>
      </c>
      <c r="M872" t="s">
        <v>5</v>
      </c>
      <c r="N872" t="s">
        <v>51</v>
      </c>
      <c r="O872" t="s">
        <v>39</v>
      </c>
      <c r="P872">
        <v>32993.040000000001</v>
      </c>
      <c r="Q872">
        <v>1099219.3999999999</v>
      </c>
      <c r="R872" t="s">
        <v>28</v>
      </c>
      <c r="S872" s="1">
        <v>45538</v>
      </c>
    </row>
    <row r="873" spans="1:19" x14ac:dyDescent="0.25">
      <c r="A873" s="5" t="s">
        <v>1783</v>
      </c>
      <c r="B873" s="5" t="s">
        <v>1784</v>
      </c>
      <c r="C873" s="5" t="s">
        <v>31</v>
      </c>
      <c r="D873" s="5">
        <v>46</v>
      </c>
      <c r="E873" s="5" t="s">
        <v>22</v>
      </c>
      <c r="F873" s="5" t="s">
        <v>23</v>
      </c>
      <c r="G873" s="5" t="s">
        <v>33</v>
      </c>
      <c r="H873" s="5">
        <v>996629</v>
      </c>
      <c r="I873">
        <v>679</v>
      </c>
      <c r="J873">
        <v>218733</v>
      </c>
      <c r="K873">
        <v>120</v>
      </c>
      <c r="L873">
        <v>12.13</v>
      </c>
      <c r="M873" t="s">
        <v>57</v>
      </c>
      <c r="N873" t="s">
        <v>34</v>
      </c>
      <c r="O873" t="s">
        <v>27</v>
      </c>
      <c r="P873">
        <v>2043.88</v>
      </c>
      <c r="Q873">
        <v>28778.959999999999</v>
      </c>
      <c r="R873" t="s">
        <v>28</v>
      </c>
      <c r="S873" s="1">
        <v>45868</v>
      </c>
    </row>
    <row r="874" spans="1:19" x14ac:dyDescent="0.25">
      <c r="A874" s="5" t="s">
        <v>1785</v>
      </c>
      <c r="B874" s="5" t="s">
        <v>1786</v>
      </c>
      <c r="C874" s="5" t="s">
        <v>31</v>
      </c>
      <c r="D874" s="5">
        <v>54</v>
      </c>
      <c r="E874" s="5" t="s">
        <v>22</v>
      </c>
      <c r="F874" s="5" t="s">
        <v>23</v>
      </c>
      <c r="G874" s="5" t="s">
        <v>33</v>
      </c>
      <c r="H874" s="5">
        <v>469192</v>
      </c>
      <c r="I874">
        <v>833</v>
      </c>
      <c r="J874">
        <v>631147</v>
      </c>
      <c r="K874">
        <v>12</v>
      </c>
      <c r="L874">
        <v>8.65</v>
      </c>
      <c r="M874" t="s">
        <v>25</v>
      </c>
      <c r="N874" t="s">
        <v>38</v>
      </c>
      <c r="O874" t="s">
        <v>27</v>
      </c>
      <c r="P874">
        <v>57145.1</v>
      </c>
      <c r="Q874">
        <v>161032.38</v>
      </c>
      <c r="R874" t="s">
        <v>28</v>
      </c>
      <c r="S874" s="1">
        <v>45977</v>
      </c>
    </row>
    <row r="875" spans="1:19" x14ac:dyDescent="0.25">
      <c r="A875" s="5" t="s">
        <v>1787</v>
      </c>
      <c r="B875" s="5" t="s">
        <v>1788</v>
      </c>
      <c r="C875" s="5" t="s">
        <v>21</v>
      </c>
      <c r="D875" s="5">
        <v>45</v>
      </c>
      <c r="E875" s="5" t="s">
        <v>22</v>
      </c>
      <c r="F875" s="5" t="s">
        <v>23</v>
      </c>
      <c r="G875" s="5" t="s">
        <v>33</v>
      </c>
      <c r="H875" s="5">
        <v>1273410</v>
      </c>
      <c r="I875">
        <v>733</v>
      </c>
      <c r="J875">
        <v>703782</v>
      </c>
      <c r="K875">
        <v>180</v>
      </c>
      <c r="L875">
        <v>9.42</v>
      </c>
      <c r="M875" t="s">
        <v>43</v>
      </c>
      <c r="N875" t="s">
        <v>38</v>
      </c>
      <c r="O875" t="s">
        <v>27</v>
      </c>
      <c r="P875">
        <v>4278.21</v>
      </c>
      <c r="Q875">
        <v>186622.52</v>
      </c>
      <c r="R875" t="s">
        <v>28</v>
      </c>
      <c r="S875" s="1">
        <v>45408</v>
      </c>
    </row>
    <row r="876" spans="1:19" x14ac:dyDescent="0.25">
      <c r="A876" s="5" t="s">
        <v>1789</v>
      </c>
      <c r="B876" s="5" t="s">
        <v>1790</v>
      </c>
      <c r="C876" s="5" t="s">
        <v>31</v>
      </c>
      <c r="D876" s="5">
        <v>33</v>
      </c>
      <c r="E876" s="5" t="s">
        <v>32</v>
      </c>
      <c r="F876" s="5" t="s">
        <v>42</v>
      </c>
      <c r="G876" s="5" t="s">
        <v>33</v>
      </c>
      <c r="H876" s="5">
        <v>1992400</v>
      </c>
      <c r="I876">
        <v>778</v>
      </c>
      <c r="J876">
        <v>1361048</v>
      </c>
      <c r="K876">
        <v>120</v>
      </c>
      <c r="L876">
        <v>9.9</v>
      </c>
      <c r="M876" t="s">
        <v>54</v>
      </c>
      <c r="N876" t="s">
        <v>26</v>
      </c>
      <c r="O876" t="s">
        <v>27</v>
      </c>
      <c r="P876">
        <v>12464.93</v>
      </c>
      <c r="Q876">
        <v>1072583.23</v>
      </c>
      <c r="R876" t="s">
        <v>28</v>
      </c>
      <c r="S876" s="1">
        <v>45824</v>
      </c>
    </row>
    <row r="877" spans="1:19" x14ac:dyDescent="0.25">
      <c r="A877" s="5" t="s">
        <v>1791</v>
      </c>
      <c r="B877" s="5" t="s">
        <v>1792</v>
      </c>
      <c r="C877" s="5" t="s">
        <v>21</v>
      </c>
      <c r="D877" s="5">
        <v>38</v>
      </c>
      <c r="E877" s="5" t="s">
        <v>22</v>
      </c>
      <c r="F877" s="5" t="s">
        <v>42</v>
      </c>
      <c r="G877" s="5" t="s">
        <v>33</v>
      </c>
      <c r="H877" s="5">
        <v>410248</v>
      </c>
      <c r="I877">
        <v>589</v>
      </c>
      <c r="J877">
        <v>1751598</v>
      </c>
      <c r="K877">
        <v>36</v>
      </c>
      <c r="L877">
        <v>7.53</v>
      </c>
      <c r="M877" t="s">
        <v>43</v>
      </c>
      <c r="N877" t="s">
        <v>104</v>
      </c>
      <c r="O877" t="s">
        <v>27</v>
      </c>
      <c r="P877">
        <v>52319.26</v>
      </c>
      <c r="Q877">
        <v>1092097.67</v>
      </c>
      <c r="R877" t="s">
        <v>28</v>
      </c>
      <c r="S877" s="1">
        <v>45904</v>
      </c>
    </row>
    <row r="878" spans="1:19" x14ac:dyDescent="0.25">
      <c r="A878" s="5" t="s">
        <v>1793</v>
      </c>
      <c r="B878" s="5" t="s">
        <v>1794</v>
      </c>
      <c r="C878" s="5" t="s">
        <v>31</v>
      </c>
      <c r="D878" s="5">
        <v>57</v>
      </c>
      <c r="E878" s="5" t="s">
        <v>32</v>
      </c>
      <c r="F878" s="5" t="s">
        <v>42</v>
      </c>
      <c r="G878" s="5" t="s">
        <v>24</v>
      </c>
      <c r="H878" s="5">
        <v>777890</v>
      </c>
      <c r="I878">
        <v>789</v>
      </c>
      <c r="J878">
        <v>406975</v>
      </c>
      <c r="K878">
        <v>180</v>
      </c>
      <c r="L878">
        <v>12.54</v>
      </c>
      <c r="M878" t="s">
        <v>54</v>
      </c>
      <c r="N878" t="s">
        <v>38</v>
      </c>
      <c r="O878" t="s">
        <v>27</v>
      </c>
      <c r="P878">
        <v>2544.5</v>
      </c>
      <c r="Q878">
        <v>100099.7</v>
      </c>
      <c r="R878" t="s">
        <v>28</v>
      </c>
      <c r="S878" s="1">
        <v>45675</v>
      </c>
    </row>
    <row r="879" spans="1:19" x14ac:dyDescent="0.25">
      <c r="A879" s="5" t="s">
        <v>1795</v>
      </c>
      <c r="B879" s="5" t="s">
        <v>1796</v>
      </c>
      <c r="C879" s="5" t="s">
        <v>31</v>
      </c>
      <c r="D879" s="5">
        <v>55</v>
      </c>
      <c r="E879" s="5" t="s">
        <v>22</v>
      </c>
      <c r="F879" s="5" t="s">
        <v>23</v>
      </c>
      <c r="G879" s="5" t="s">
        <v>24</v>
      </c>
      <c r="H879" s="5">
        <v>1872161</v>
      </c>
      <c r="I879">
        <v>771</v>
      </c>
      <c r="J879">
        <v>301373</v>
      </c>
      <c r="K879">
        <v>240</v>
      </c>
      <c r="L879">
        <v>14.39</v>
      </c>
      <c r="M879" t="s">
        <v>43</v>
      </c>
      <c r="N879" t="s">
        <v>104</v>
      </c>
      <c r="O879" t="s">
        <v>27</v>
      </c>
      <c r="P879">
        <v>1436.42</v>
      </c>
      <c r="Q879">
        <v>271268.63</v>
      </c>
      <c r="R879" t="s">
        <v>28</v>
      </c>
      <c r="S879" s="1">
        <v>45995</v>
      </c>
    </row>
    <row r="880" spans="1:19" x14ac:dyDescent="0.25">
      <c r="A880" s="5" t="s">
        <v>1797</v>
      </c>
      <c r="B880" s="5" t="s">
        <v>1798</v>
      </c>
      <c r="C880" s="5" t="s">
        <v>31</v>
      </c>
      <c r="D880" s="5">
        <v>31</v>
      </c>
      <c r="E880" s="5" t="s">
        <v>22</v>
      </c>
      <c r="F880" s="5" t="s">
        <v>23</v>
      </c>
      <c r="G880" s="5" t="s">
        <v>33</v>
      </c>
      <c r="H880" s="5">
        <v>1117649</v>
      </c>
      <c r="I880">
        <v>730</v>
      </c>
      <c r="J880">
        <v>1951580</v>
      </c>
      <c r="K880">
        <v>84</v>
      </c>
      <c r="L880">
        <v>8.43</v>
      </c>
      <c r="M880" t="s">
        <v>5</v>
      </c>
      <c r="N880" t="s">
        <v>44</v>
      </c>
      <c r="O880" t="s">
        <v>27</v>
      </c>
      <c r="P880">
        <v>25191.65</v>
      </c>
      <c r="Q880">
        <v>1655507.77</v>
      </c>
      <c r="R880" t="s">
        <v>28</v>
      </c>
      <c r="S880" s="1">
        <v>45752</v>
      </c>
    </row>
    <row r="881" spans="1:19" x14ac:dyDescent="0.25">
      <c r="A881" s="5" t="s">
        <v>1799</v>
      </c>
      <c r="B881" s="5" t="s">
        <v>1800</v>
      </c>
      <c r="C881" s="5" t="s">
        <v>31</v>
      </c>
      <c r="D881" s="5">
        <v>34</v>
      </c>
      <c r="E881" s="5" t="s">
        <v>32</v>
      </c>
      <c r="F881" s="5" t="s">
        <v>23</v>
      </c>
      <c r="G881" s="5" t="s">
        <v>24</v>
      </c>
      <c r="H881" s="5">
        <v>1008370</v>
      </c>
      <c r="I881">
        <v>828</v>
      </c>
      <c r="J881">
        <v>526101</v>
      </c>
      <c r="K881">
        <v>48</v>
      </c>
      <c r="L881">
        <v>10.44</v>
      </c>
      <c r="M881" t="s">
        <v>43</v>
      </c>
      <c r="N881" t="s">
        <v>44</v>
      </c>
      <c r="O881" t="s">
        <v>27</v>
      </c>
      <c r="P881">
        <v>12104.71</v>
      </c>
      <c r="Q881">
        <v>300450.09999999998</v>
      </c>
      <c r="R881" t="s">
        <v>28</v>
      </c>
      <c r="S881" s="1">
        <v>45917</v>
      </c>
    </row>
    <row r="882" spans="1:19" x14ac:dyDescent="0.25">
      <c r="A882" s="5" t="s">
        <v>1801</v>
      </c>
      <c r="B882" s="5" t="s">
        <v>1802</v>
      </c>
      <c r="C882" s="5" t="s">
        <v>31</v>
      </c>
      <c r="D882" s="5">
        <v>34</v>
      </c>
      <c r="E882" s="5" t="s">
        <v>32</v>
      </c>
      <c r="F882" s="5" t="s">
        <v>23</v>
      </c>
      <c r="G882" s="5" t="s">
        <v>24</v>
      </c>
      <c r="H882" s="5">
        <v>1710630</v>
      </c>
      <c r="I882">
        <v>786</v>
      </c>
      <c r="J882">
        <v>263253</v>
      </c>
      <c r="K882">
        <v>84</v>
      </c>
      <c r="L882">
        <v>9.83</v>
      </c>
      <c r="M882" t="s">
        <v>5</v>
      </c>
      <c r="N882" t="s">
        <v>26</v>
      </c>
      <c r="O882" t="s">
        <v>27</v>
      </c>
      <c r="P882">
        <v>3442.03</v>
      </c>
      <c r="Q882">
        <v>67949.23</v>
      </c>
      <c r="R882" t="s">
        <v>28</v>
      </c>
      <c r="S882" s="1">
        <v>45470</v>
      </c>
    </row>
    <row r="883" spans="1:19" x14ac:dyDescent="0.25">
      <c r="A883" s="5" t="s">
        <v>1803</v>
      </c>
      <c r="B883" s="5" t="s">
        <v>1804</v>
      </c>
      <c r="C883" s="5" t="s">
        <v>31</v>
      </c>
      <c r="D883" s="5">
        <v>51</v>
      </c>
      <c r="E883" s="5" t="s">
        <v>22</v>
      </c>
      <c r="F883" s="5" t="s">
        <v>23</v>
      </c>
      <c r="G883" s="5" t="s">
        <v>33</v>
      </c>
      <c r="H883" s="5">
        <v>1223059</v>
      </c>
      <c r="I883">
        <v>849</v>
      </c>
      <c r="J883">
        <v>1250506</v>
      </c>
      <c r="K883">
        <v>48</v>
      </c>
      <c r="L883">
        <v>13.91</v>
      </c>
      <c r="M883" t="s">
        <v>43</v>
      </c>
      <c r="N883" t="s">
        <v>26</v>
      </c>
      <c r="O883" t="s">
        <v>27</v>
      </c>
      <c r="P883">
        <v>29676.07</v>
      </c>
      <c r="Q883">
        <v>1079860.27</v>
      </c>
      <c r="R883" t="s">
        <v>28</v>
      </c>
      <c r="S883" s="1">
        <v>45605</v>
      </c>
    </row>
    <row r="884" spans="1:19" x14ac:dyDescent="0.25">
      <c r="A884" s="5" t="s">
        <v>1805</v>
      </c>
      <c r="B884" s="5" t="s">
        <v>1806</v>
      </c>
      <c r="C884" s="5" t="s">
        <v>21</v>
      </c>
      <c r="D884" s="5">
        <v>21</v>
      </c>
      <c r="E884" s="5" t="s">
        <v>32</v>
      </c>
      <c r="F884" s="5" t="s">
        <v>23</v>
      </c>
      <c r="G884" s="5" t="s">
        <v>24</v>
      </c>
      <c r="H884" s="5">
        <v>891792</v>
      </c>
      <c r="I884">
        <v>649</v>
      </c>
      <c r="J884">
        <v>1414971</v>
      </c>
      <c r="K884">
        <v>180</v>
      </c>
      <c r="L884">
        <v>7.54</v>
      </c>
      <c r="M884" t="s">
        <v>54</v>
      </c>
      <c r="N884" t="s">
        <v>34</v>
      </c>
      <c r="O884" t="s">
        <v>27</v>
      </c>
      <c r="P884">
        <v>8453.67</v>
      </c>
      <c r="Q884">
        <v>545397.80000000005</v>
      </c>
      <c r="R884" t="s">
        <v>28</v>
      </c>
      <c r="S884" s="1">
        <v>45873</v>
      </c>
    </row>
    <row r="885" spans="1:19" x14ac:dyDescent="0.25">
      <c r="A885" s="5" t="s">
        <v>1807</v>
      </c>
      <c r="B885" s="5" t="s">
        <v>1808</v>
      </c>
      <c r="C885" s="5" t="s">
        <v>31</v>
      </c>
      <c r="D885" s="5">
        <v>40</v>
      </c>
      <c r="E885" s="5" t="s">
        <v>32</v>
      </c>
      <c r="F885" s="5" t="s">
        <v>42</v>
      </c>
      <c r="G885" s="5" t="s">
        <v>24</v>
      </c>
      <c r="H885" s="5">
        <v>804062</v>
      </c>
      <c r="I885">
        <v>826</v>
      </c>
      <c r="J885">
        <v>1981431</v>
      </c>
      <c r="K885">
        <v>60</v>
      </c>
      <c r="L885">
        <v>13.96</v>
      </c>
      <c r="M885" t="s">
        <v>57</v>
      </c>
      <c r="N885" t="s">
        <v>104</v>
      </c>
      <c r="O885" t="s">
        <v>27</v>
      </c>
      <c r="P885">
        <v>37633.980000000003</v>
      </c>
      <c r="Q885">
        <v>691032.6</v>
      </c>
      <c r="R885" t="s">
        <v>28</v>
      </c>
      <c r="S885" s="1">
        <v>45371</v>
      </c>
    </row>
    <row r="886" spans="1:19" x14ac:dyDescent="0.25">
      <c r="A886" s="5" t="s">
        <v>1809</v>
      </c>
      <c r="B886" s="5" t="s">
        <v>1810</v>
      </c>
      <c r="C886" s="5" t="s">
        <v>21</v>
      </c>
      <c r="D886" s="5">
        <v>36</v>
      </c>
      <c r="E886" s="5" t="s">
        <v>32</v>
      </c>
      <c r="F886" s="5" t="s">
        <v>42</v>
      </c>
      <c r="G886" s="5" t="s">
        <v>33</v>
      </c>
      <c r="H886" s="5">
        <v>1168574</v>
      </c>
      <c r="I886">
        <v>620</v>
      </c>
      <c r="J886">
        <v>270616</v>
      </c>
      <c r="K886">
        <v>36</v>
      </c>
      <c r="L886">
        <v>12.38</v>
      </c>
      <c r="M886" t="s">
        <v>25</v>
      </c>
      <c r="N886" t="s">
        <v>44</v>
      </c>
      <c r="O886" t="s">
        <v>27</v>
      </c>
      <c r="P886">
        <v>8447.73</v>
      </c>
      <c r="Q886">
        <v>93280.56</v>
      </c>
      <c r="R886" t="s">
        <v>28</v>
      </c>
      <c r="S886" s="1">
        <v>45455</v>
      </c>
    </row>
    <row r="887" spans="1:19" x14ac:dyDescent="0.25">
      <c r="A887" s="5" t="s">
        <v>1811</v>
      </c>
      <c r="B887" s="5" t="s">
        <v>1812</v>
      </c>
      <c r="C887" s="5" t="s">
        <v>21</v>
      </c>
      <c r="D887" s="5">
        <v>43</v>
      </c>
      <c r="E887" s="5" t="s">
        <v>22</v>
      </c>
      <c r="F887" s="5" t="s">
        <v>23</v>
      </c>
      <c r="G887" s="5" t="s">
        <v>24</v>
      </c>
      <c r="H887" s="5">
        <v>1814494</v>
      </c>
      <c r="I887">
        <v>824</v>
      </c>
      <c r="J887">
        <v>1852726</v>
      </c>
      <c r="K887">
        <v>24</v>
      </c>
      <c r="L887">
        <v>15.32</v>
      </c>
      <c r="M887" t="s">
        <v>57</v>
      </c>
      <c r="N887" t="s">
        <v>104</v>
      </c>
      <c r="O887" t="s">
        <v>27</v>
      </c>
      <c r="P887">
        <v>89023.48</v>
      </c>
      <c r="Q887">
        <v>720917.03</v>
      </c>
      <c r="R887" t="s">
        <v>28</v>
      </c>
      <c r="S887" s="1">
        <v>45936</v>
      </c>
    </row>
    <row r="888" spans="1:19" x14ac:dyDescent="0.25">
      <c r="A888" s="5" t="s">
        <v>1813</v>
      </c>
      <c r="B888" s="5" t="s">
        <v>1814</v>
      </c>
      <c r="C888" s="5" t="s">
        <v>31</v>
      </c>
      <c r="D888" s="5">
        <v>22</v>
      </c>
      <c r="E888" s="5" t="s">
        <v>32</v>
      </c>
      <c r="F888" s="5" t="s">
        <v>23</v>
      </c>
      <c r="G888" s="5" t="s">
        <v>33</v>
      </c>
      <c r="H888" s="5">
        <v>1028100</v>
      </c>
      <c r="I888">
        <v>647</v>
      </c>
      <c r="J888">
        <v>160629</v>
      </c>
      <c r="K888">
        <v>240</v>
      </c>
      <c r="L888">
        <v>11.54</v>
      </c>
      <c r="M888" t="s">
        <v>57</v>
      </c>
      <c r="N888" t="s">
        <v>34</v>
      </c>
      <c r="O888" t="s">
        <v>27</v>
      </c>
      <c r="P888">
        <v>746.52</v>
      </c>
      <c r="Q888">
        <v>100313.05</v>
      </c>
      <c r="R888" t="s">
        <v>28</v>
      </c>
      <c r="S888" s="1">
        <v>45661</v>
      </c>
    </row>
    <row r="889" spans="1:19" x14ac:dyDescent="0.25">
      <c r="A889" s="5" t="s">
        <v>1815</v>
      </c>
      <c r="B889" s="5" t="s">
        <v>1816</v>
      </c>
      <c r="C889" s="5" t="s">
        <v>31</v>
      </c>
      <c r="D889" s="5">
        <v>36</v>
      </c>
      <c r="E889" s="5" t="s">
        <v>32</v>
      </c>
      <c r="F889" s="5" t="s">
        <v>23</v>
      </c>
      <c r="G889" s="5" t="s">
        <v>33</v>
      </c>
      <c r="H889" s="5">
        <v>552646</v>
      </c>
      <c r="I889">
        <v>827</v>
      </c>
      <c r="J889">
        <v>713312</v>
      </c>
      <c r="K889">
        <v>84</v>
      </c>
      <c r="L889">
        <v>12.54</v>
      </c>
      <c r="M889" t="s">
        <v>54</v>
      </c>
      <c r="N889" t="s">
        <v>51</v>
      </c>
      <c r="O889" t="s">
        <v>27</v>
      </c>
      <c r="P889">
        <v>9556.68</v>
      </c>
      <c r="Q889">
        <v>513261.51</v>
      </c>
      <c r="R889" t="s">
        <v>28</v>
      </c>
      <c r="S889" s="1">
        <v>45617</v>
      </c>
    </row>
    <row r="890" spans="1:19" x14ac:dyDescent="0.25">
      <c r="A890" s="5" t="s">
        <v>1817</v>
      </c>
      <c r="B890" s="5" t="s">
        <v>1818</v>
      </c>
      <c r="C890" s="5" t="s">
        <v>31</v>
      </c>
      <c r="D890" s="5">
        <v>57</v>
      </c>
      <c r="E890" s="5" t="s">
        <v>22</v>
      </c>
      <c r="F890" s="5" t="s">
        <v>23</v>
      </c>
      <c r="G890" s="5" t="s">
        <v>33</v>
      </c>
      <c r="H890" s="5">
        <v>435265</v>
      </c>
      <c r="I890">
        <v>718</v>
      </c>
      <c r="J890">
        <v>974422</v>
      </c>
      <c r="K890">
        <v>24</v>
      </c>
      <c r="L890">
        <v>12.76</v>
      </c>
      <c r="M890" t="s">
        <v>54</v>
      </c>
      <c r="N890" t="s">
        <v>51</v>
      </c>
      <c r="O890" t="s">
        <v>27</v>
      </c>
      <c r="P890">
        <v>45781.59</v>
      </c>
      <c r="Q890">
        <v>348347.64</v>
      </c>
      <c r="R890" t="s">
        <v>28</v>
      </c>
      <c r="S890" s="1">
        <v>45381</v>
      </c>
    </row>
    <row r="891" spans="1:19" x14ac:dyDescent="0.25">
      <c r="A891" s="5" t="s">
        <v>1819</v>
      </c>
      <c r="B891" s="5" t="s">
        <v>1820</v>
      </c>
      <c r="C891" s="5" t="s">
        <v>31</v>
      </c>
      <c r="D891" s="5">
        <v>52</v>
      </c>
      <c r="E891" s="5" t="s">
        <v>22</v>
      </c>
      <c r="F891" s="5" t="s">
        <v>23</v>
      </c>
      <c r="G891" s="5" t="s">
        <v>33</v>
      </c>
      <c r="H891" s="5">
        <v>1237188</v>
      </c>
      <c r="I891">
        <v>742</v>
      </c>
      <c r="J891">
        <v>1892923</v>
      </c>
      <c r="K891">
        <v>48</v>
      </c>
      <c r="L891">
        <v>13.07</v>
      </c>
      <c r="M891" t="s">
        <v>5</v>
      </c>
      <c r="N891" t="s">
        <v>34</v>
      </c>
      <c r="O891" t="s">
        <v>27</v>
      </c>
      <c r="P891">
        <v>44590.17</v>
      </c>
      <c r="Q891">
        <v>1653467.87</v>
      </c>
      <c r="R891" t="s">
        <v>28</v>
      </c>
      <c r="S891" s="1">
        <v>45676</v>
      </c>
    </row>
    <row r="892" spans="1:19" x14ac:dyDescent="0.25">
      <c r="A892" s="5" t="s">
        <v>1821</v>
      </c>
      <c r="B892" s="5" t="s">
        <v>1822</v>
      </c>
      <c r="C892" s="5" t="s">
        <v>21</v>
      </c>
      <c r="D892" s="5">
        <v>53</v>
      </c>
      <c r="E892" s="5" t="s">
        <v>22</v>
      </c>
      <c r="F892" s="5" t="s">
        <v>23</v>
      </c>
      <c r="G892" s="5" t="s">
        <v>24</v>
      </c>
      <c r="H892" s="5">
        <v>1268616</v>
      </c>
      <c r="I892">
        <v>615</v>
      </c>
      <c r="J892">
        <v>1147160</v>
      </c>
      <c r="K892">
        <v>48</v>
      </c>
      <c r="L892">
        <v>9.74</v>
      </c>
      <c r="M892" t="s">
        <v>5</v>
      </c>
      <c r="N892" t="s">
        <v>26</v>
      </c>
      <c r="O892" t="s">
        <v>27</v>
      </c>
      <c r="P892">
        <v>26226.95</v>
      </c>
      <c r="Q892">
        <v>555541.41</v>
      </c>
      <c r="R892" t="s">
        <v>28</v>
      </c>
      <c r="S892" s="1">
        <v>45436</v>
      </c>
    </row>
    <row r="893" spans="1:19" x14ac:dyDescent="0.25">
      <c r="A893" s="5" t="s">
        <v>1823</v>
      </c>
      <c r="B893" s="5" t="s">
        <v>1824</v>
      </c>
      <c r="C893" s="5" t="s">
        <v>21</v>
      </c>
      <c r="D893" s="5">
        <v>37</v>
      </c>
      <c r="E893" s="5" t="s">
        <v>22</v>
      </c>
      <c r="F893" s="5" t="s">
        <v>23</v>
      </c>
      <c r="G893" s="5" t="s">
        <v>33</v>
      </c>
      <c r="H893" s="5">
        <v>1008164</v>
      </c>
      <c r="I893">
        <v>714</v>
      </c>
      <c r="J893">
        <v>1637251</v>
      </c>
      <c r="K893">
        <v>24</v>
      </c>
      <c r="L893">
        <v>14.83</v>
      </c>
      <c r="M893" t="s">
        <v>5</v>
      </c>
      <c r="N893" t="s">
        <v>51</v>
      </c>
      <c r="O893" t="s">
        <v>27</v>
      </c>
      <c r="P893">
        <v>78335.64</v>
      </c>
      <c r="Q893">
        <v>1480228.51</v>
      </c>
      <c r="R893" t="s">
        <v>28</v>
      </c>
      <c r="S893" s="1">
        <v>45908</v>
      </c>
    </row>
    <row r="894" spans="1:19" x14ac:dyDescent="0.25">
      <c r="A894" s="5" t="s">
        <v>1825</v>
      </c>
      <c r="B894" s="5" t="s">
        <v>1826</v>
      </c>
      <c r="C894" s="5" t="s">
        <v>31</v>
      </c>
      <c r="D894" s="5">
        <v>38</v>
      </c>
      <c r="E894" s="5" t="s">
        <v>22</v>
      </c>
      <c r="F894" s="5" t="s">
        <v>42</v>
      </c>
      <c r="G894" s="5" t="s">
        <v>33</v>
      </c>
      <c r="H894" s="5">
        <v>1618824</v>
      </c>
      <c r="I894">
        <v>596</v>
      </c>
      <c r="J894">
        <v>1789252</v>
      </c>
      <c r="K894">
        <v>48</v>
      </c>
      <c r="L894">
        <v>9.34</v>
      </c>
      <c r="M894" t="s">
        <v>43</v>
      </c>
      <c r="N894" t="s">
        <v>34</v>
      </c>
      <c r="O894" t="s">
        <v>27</v>
      </c>
      <c r="P894">
        <v>40757.67</v>
      </c>
      <c r="Q894">
        <v>624766.22</v>
      </c>
      <c r="R894" t="s">
        <v>35</v>
      </c>
      <c r="S894" s="1">
        <v>45527</v>
      </c>
    </row>
    <row r="895" spans="1:19" x14ac:dyDescent="0.25">
      <c r="A895" s="5" t="s">
        <v>1827</v>
      </c>
      <c r="B895" s="5" t="s">
        <v>1828</v>
      </c>
      <c r="C895" s="5" t="s">
        <v>31</v>
      </c>
      <c r="D895" s="5">
        <v>36</v>
      </c>
      <c r="E895" s="5" t="s">
        <v>22</v>
      </c>
      <c r="F895" s="5" t="s">
        <v>42</v>
      </c>
      <c r="G895" s="5" t="s">
        <v>33</v>
      </c>
      <c r="H895" s="5">
        <v>1015124</v>
      </c>
      <c r="I895">
        <v>605</v>
      </c>
      <c r="J895">
        <v>617624</v>
      </c>
      <c r="K895">
        <v>36</v>
      </c>
      <c r="L895">
        <v>10.74</v>
      </c>
      <c r="M895" t="s">
        <v>54</v>
      </c>
      <c r="N895" t="s">
        <v>26</v>
      </c>
      <c r="O895" t="s">
        <v>39</v>
      </c>
      <c r="P895">
        <v>18998.8</v>
      </c>
      <c r="Q895">
        <v>186552.46</v>
      </c>
      <c r="R895" t="s">
        <v>28</v>
      </c>
      <c r="S895" s="1">
        <v>45877</v>
      </c>
    </row>
    <row r="896" spans="1:19" x14ac:dyDescent="0.25">
      <c r="A896" s="5" t="s">
        <v>1829</v>
      </c>
      <c r="B896" s="5" t="s">
        <v>1830</v>
      </c>
      <c r="C896" s="5" t="s">
        <v>31</v>
      </c>
      <c r="D896" s="5">
        <v>22</v>
      </c>
      <c r="E896" s="5" t="s">
        <v>22</v>
      </c>
      <c r="F896" s="5" t="s">
        <v>42</v>
      </c>
      <c r="G896" s="5" t="s">
        <v>33</v>
      </c>
      <c r="H896" s="5">
        <v>1174381</v>
      </c>
      <c r="I896">
        <v>669</v>
      </c>
      <c r="J896">
        <v>104606</v>
      </c>
      <c r="K896">
        <v>84</v>
      </c>
      <c r="L896">
        <v>13.92</v>
      </c>
      <c r="M896" t="s">
        <v>5</v>
      </c>
      <c r="N896" t="s">
        <v>44</v>
      </c>
      <c r="O896" t="s">
        <v>27</v>
      </c>
      <c r="P896">
        <v>1418.66</v>
      </c>
      <c r="Q896">
        <v>79783.25</v>
      </c>
      <c r="R896" t="s">
        <v>28</v>
      </c>
      <c r="S896" s="1">
        <v>45472</v>
      </c>
    </row>
    <row r="897" spans="1:19" x14ac:dyDescent="0.25">
      <c r="A897" s="5" t="s">
        <v>1831</v>
      </c>
      <c r="B897" s="5" t="s">
        <v>1832</v>
      </c>
      <c r="C897" s="5" t="s">
        <v>31</v>
      </c>
      <c r="D897" s="5">
        <v>37</v>
      </c>
      <c r="E897" s="5" t="s">
        <v>22</v>
      </c>
      <c r="F897" s="5" t="s">
        <v>23</v>
      </c>
      <c r="G897" s="5" t="s">
        <v>24</v>
      </c>
      <c r="H897" s="5">
        <v>425481</v>
      </c>
      <c r="I897">
        <v>644</v>
      </c>
      <c r="J897">
        <v>1629731</v>
      </c>
      <c r="K897">
        <v>48</v>
      </c>
      <c r="L897">
        <v>14.63</v>
      </c>
      <c r="M897" t="s">
        <v>25</v>
      </c>
      <c r="N897" t="s">
        <v>38</v>
      </c>
      <c r="O897" t="s">
        <v>39</v>
      </c>
      <c r="P897">
        <v>38920.01</v>
      </c>
      <c r="Q897">
        <v>1198512.07</v>
      </c>
      <c r="R897" t="s">
        <v>28</v>
      </c>
      <c r="S897" s="1">
        <v>45568</v>
      </c>
    </row>
    <row r="898" spans="1:19" x14ac:dyDescent="0.25">
      <c r="A898" s="5" t="s">
        <v>1833</v>
      </c>
      <c r="B898" s="5" t="s">
        <v>1834</v>
      </c>
      <c r="C898" s="5" t="s">
        <v>31</v>
      </c>
      <c r="D898" s="5">
        <v>58</v>
      </c>
      <c r="E898" s="5" t="s">
        <v>22</v>
      </c>
      <c r="F898" s="5" t="s">
        <v>23</v>
      </c>
      <c r="G898" s="5" t="s">
        <v>33</v>
      </c>
      <c r="H898" s="5">
        <v>1083231</v>
      </c>
      <c r="I898">
        <v>758</v>
      </c>
      <c r="J898">
        <v>1723634</v>
      </c>
      <c r="K898">
        <v>36</v>
      </c>
      <c r="L898">
        <v>14.1</v>
      </c>
      <c r="M898" t="s">
        <v>54</v>
      </c>
      <c r="N898" t="s">
        <v>34</v>
      </c>
      <c r="O898" t="s">
        <v>27</v>
      </c>
      <c r="P898">
        <v>54629.62</v>
      </c>
      <c r="Q898">
        <v>1709397.16</v>
      </c>
      <c r="R898" t="s">
        <v>28</v>
      </c>
      <c r="S898" s="1">
        <v>45852</v>
      </c>
    </row>
    <row r="899" spans="1:19" x14ac:dyDescent="0.25">
      <c r="A899" s="5" t="s">
        <v>1835</v>
      </c>
      <c r="B899" s="5" t="s">
        <v>1836</v>
      </c>
      <c r="C899" s="5" t="s">
        <v>21</v>
      </c>
      <c r="D899" s="5">
        <v>47</v>
      </c>
      <c r="E899" s="5" t="s">
        <v>32</v>
      </c>
      <c r="F899" s="5" t="s">
        <v>23</v>
      </c>
      <c r="G899" s="5" t="s">
        <v>24</v>
      </c>
      <c r="H899" s="5">
        <v>1986202</v>
      </c>
      <c r="I899">
        <v>743</v>
      </c>
      <c r="J899">
        <v>388886</v>
      </c>
      <c r="K899">
        <v>12</v>
      </c>
      <c r="L899">
        <v>13.38</v>
      </c>
      <c r="M899" t="s">
        <v>43</v>
      </c>
      <c r="N899" t="s">
        <v>34</v>
      </c>
      <c r="O899" t="s">
        <v>27</v>
      </c>
      <c r="P899">
        <v>36743.25</v>
      </c>
      <c r="Q899">
        <v>64303.11</v>
      </c>
      <c r="R899" t="s">
        <v>28</v>
      </c>
      <c r="S899" s="1">
        <v>45782</v>
      </c>
    </row>
    <row r="900" spans="1:19" x14ac:dyDescent="0.25">
      <c r="A900" s="5" t="s">
        <v>1837</v>
      </c>
      <c r="B900" s="5" t="s">
        <v>1838</v>
      </c>
      <c r="C900" s="5" t="s">
        <v>31</v>
      </c>
      <c r="D900" s="5">
        <v>23</v>
      </c>
      <c r="E900" s="5" t="s">
        <v>22</v>
      </c>
      <c r="F900" s="5" t="s">
        <v>42</v>
      </c>
      <c r="G900" s="5" t="s">
        <v>24</v>
      </c>
      <c r="H900" s="5">
        <v>515244</v>
      </c>
      <c r="I900">
        <v>744</v>
      </c>
      <c r="J900">
        <v>1855112</v>
      </c>
      <c r="K900">
        <v>48</v>
      </c>
      <c r="L900">
        <v>14.09</v>
      </c>
      <c r="M900" t="s">
        <v>54</v>
      </c>
      <c r="N900" t="s">
        <v>44</v>
      </c>
      <c r="O900" t="s">
        <v>27</v>
      </c>
      <c r="P900">
        <v>44093.69</v>
      </c>
      <c r="Q900">
        <v>889808.58</v>
      </c>
      <c r="R900" t="s">
        <v>28</v>
      </c>
      <c r="S900" s="1">
        <v>45901</v>
      </c>
    </row>
    <row r="901" spans="1:19" x14ac:dyDescent="0.25">
      <c r="A901" s="5" t="s">
        <v>1839</v>
      </c>
      <c r="B901" s="5" t="s">
        <v>1840</v>
      </c>
      <c r="C901" s="5" t="s">
        <v>31</v>
      </c>
      <c r="D901" s="5">
        <v>40</v>
      </c>
      <c r="E901" s="5" t="s">
        <v>22</v>
      </c>
      <c r="F901" s="5" t="s">
        <v>42</v>
      </c>
      <c r="G901" s="5" t="s">
        <v>33</v>
      </c>
      <c r="H901" s="5">
        <v>1028321</v>
      </c>
      <c r="I901">
        <v>726</v>
      </c>
      <c r="J901">
        <v>1557842</v>
      </c>
      <c r="K901">
        <v>120</v>
      </c>
      <c r="L901">
        <v>8.36</v>
      </c>
      <c r="M901" t="s">
        <v>25</v>
      </c>
      <c r="N901" t="s">
        <v>38</v>
      </c>
      <c r="O901" t="s">
        <v>27</v>
      </c>
      <c r="P901">
        <v>14067.31</v>
      </c>
      <c r="Q901">
        <v>824341.2</v>
      </c>
      <c r="R901" t="s">
        <v>28</v>
      </c>
      <c r="S901" s="1">
        <v>45598</v>
      </c>
    </row>
    <row r="902" spans="1:19" x14ac:dyDescent="0.25">
      <c r="A902" s="5" t="s">
        <v>1841</v>
      </c>
      <c r="B902" s="5" t="s">
        <v>1842</v>
      </c>
      <c r="C902" s="5" t="s">
        <v>21</v>
      </c>
      <c r="D902" s="5">
        <v>39</v>
      </c>
      <c r="E902" s="5" t="s">
        <v>32</v>
      </c>
      <c r="F902" s="5" t="s">
        <v>42</v>
      </c>
      <c r="G902" s="5" t="s">
        <v>24</v>
      </c>
      <c r="H902" s="5">
        <v>582899</v>
      </c>
      <c r="I902">
        <v>561</v>
      </c>
      <c r="J902">
        <v>866312</v>
      </c>
      <c r="K902">
        <v>12</v>
      </c>
      <c r="L902">
        <v>11.94</v>
      </c>
      <c r="M902" t="s">
        <v>43</v>
      </c>
      <c r="N902" t="s">
        <v>26</v>
      </c>
      <c r="O902" t="s">
        <v>39</v>
      </c>
      <c r="P902">
        <v>80812.47</v>
      </c>
      <c r="Q902">
        <v>473992.38</v>
      </c>
      <c r="R902" t="s">
        <v>28</v>
      </c>
      <c r="S902" s="1">
        <v>45879</v>
      </c>
    </row>
    <row r="903" spans="1:19" x14ac:dyDescent="0.25">
      <c r="A903" s="5" t="s">
        <v>1843</v>
      </c>
      <c r="B903" s="5" t="s">
        <v>1844</v>
      </c>
      <c r="C903" s="5" t="s">
        <v>31</v>
      </c>
      <c r="D903" s="5">
        <v>42</v>
      </c>
      <c r="E903" s="5" t="s">
        <v>32</v>
      </c>
      <c r="F903" s="5" t="s">
        <v>42</v>
      </c>
      <c r="G903" s="5" t="s">
        <v>33</v>
      </c>
      <c r="H903" s="5">
        <v>1836974</v>
      </c>
      <c r="I903">
        <v>660</v>
      </c>
      <c r="J903">
        <v>541171</v>
      </c>
      <c r="K903">
        <v>240</v>
      </c>
      <c r="L903">
        <v>10.08</v>
      </c>
      <c r="M903" t="s">
        <v>57</v>
      </c>
      <c r="N903" t="s">
        <v>34</v>
      </c>
      <c r="O903" t="s">
        <v>27</v>
      </c>
      <c r="P903">
        <v>2482.17</v>
      </c>
      <c r="Q903">
        <v>321994.44</v>
      </c>
      <c r="R903" t="s">
        <v>28</v>
      </c>
      <c r="S903" s="1">
        <v>45813</v>
      </c>
    </row>
    <row r="904" spans="1:19" x14ac:dyDescent="0.25">
      <c r="A904" s="5" t="s">
        <v>1845</v>
      </c>
      <c r="B904" s="5" t="s">
        <v>1846</v>
      </c>
      <c r="C904" s="5" t="s">
        <v>31</v>
      </c>
      <c r="D904" s="5">
        <v>59</v>
      </c>
      <c r="E904" s="5" t="s">
        <v>22</v>
      </c>
      <c r="F904" s="5" t="s">
        <v>23</v>
      </c>
      <c r="G904" s="5" t="s">
        <v>33</v>
      </c>
      <c r="H904" s="5">
        <v>1283681</v>
      </c>
      <c r="I904">
        <v>786</v>
      </c>
      <c r="J904">
        <v>994788</v>
      </c>
      <c r="K904">
        <v>180</v>
      </c>
      <c r="L904">
        <v>13</v>
      </c>
      <c r="M904" t="s">
        <v>5</v>
      </c>
      <c r="N904" t="s">
        <v>104</v>
      </c>
      <c r="O904" t="s">
        <v>27</v>
      </c>
      <c r="P904">
        <v>6245.06</v>
      </c>
      <c r="Q904">
        <v>893122.33</v>
      </c>
      <c r="R904" t="s">
        <v>28</v>
      </c>
      <c r="S904" s="1">
        <v>45337</v>
      </c>
    </row>
    <row r="905" spans="1:19" x14ac:dyDescent="0.25">
      <c r="A905" s="5" t="s">
        <v>1847</v>
      </c>
      <c r="B905" s="5" t="s">
        <v>1848</v>
      </c>
      <c r="C905" s="5" t="s">
        <v>31</v>
      </c>
      <c r="D905" s="5">
        <v>50</v>
      </c>
      <c r="E905" s="5" t="s">
        <v>32</v>
      </c>
      <c r="F905" s="5" t="s">
        <v>42</v>
      </c>
      <c r="G905" s="5" t="s">
        <v>24</v>
      </c>
      <c r="H905" s="5">
        <v>1692447</v>
      </c>
      <c r="I905">
        <v>598</v>
      </c>
      <c r="J905">
        <v>897929</v>
      </c>
      <c r="K905">
        <v>120</v>
      </c>
      <c r="L905">
        <v>11.51</v>
      </c>
      <c r="M905" t="s">
        <v>43</v>
      </c>
      <c r="N905" t="s">
        <v>34</v>
      </c>
      <c r="O905" t="s">
        <v>39</v>
      </c>
      <c r="P905">
        <v>8344.01</v>
      </c>
      <c r="Q905">
        <v>422327.61</v>
      </c>
      <c r="R905" t="s">
        <v>28</v>
      </c>
      <c r="S905" s="1">
        <v>45382</v>
      </c>
    </row>
    <row r="906" spans="1:19" x14ac:dyDescent="0.25">
      <c r="A906" s="5" t="s">
        <v>1849</v>
      </c>
      <c r="B906" s="5" t="s">
        <v>1850</v>
      </c>
      <c r="C906" s="5" t="s">
        <v>21</v>
      </c>
      <c r="D906" s="5">
        <v>44</v>
      </c>
      <c r="E906" s="5" t="s">
        <v>22</v>
      </c>
      <c r="F906" s="5" t="s">
        <v>42</v>
      </c>
      <c r="G906" s="5" t="s">
        <v>24</v>
      </c>
      <c r="H906" s="5">
        <v>1215818</v>
      </c>
      <c r="I906">
        <v>769</v>
      </c>
      <c r="J906">
        <v>765713</v>
      </c>
      <c r="K906">
        <v>180</v>
      </c>
      <c r="L906">
        <v>10.68</v>
      </c>
      <c r="M906" t="s">
        <v>43</v>
      </c>
      <c r="N906" t="s">
        <v>26</v>
      </c>
      <c r="O906" t="s">
        <v>27</v>
      </c>
      <c r="P906">
        <v>4708.28</v>
      </c>
      <c r="Q906">
        <v>146323.26999999999</v>
      </c>
      <c r="R906" t="s">
        <v>28</v>
      </c>
      <c r="S906" s="1">
        <v>45416</v>
      </c>
    </row>
    <row r="907" spans="1:19" x14ac:dyDescent="0.25">
      <c r="A907" s="5" t="s">
        <v>1851</v>
      </c>
      <c r="B907" s="5" t="s">
        <v>1852</v>
      </c>
      <c r="C907" s="5" t="s">
        <v>31</v>
      </c>
      <c r="D907" s="5">
        <v>31</v>
      </c>
      <c r="E907" s="5" t="s">
        <v>22</v>
      </c>
      <c r="F907" s="5" t="s">
        <v>42</v>
      </c>
      <c r="G907" s="5" t="s">
        <v>24</v>
      </c>
      <c r="H907" s="5">
        <v>1831104</v>
      </c>
      <c r="I907">
        <v>670</v>
      </c>
      <c r="J907">
        <v>1958725</v>
      </c>
      <c r="K907">
        <v>84</v>
      </c>
      <c r="L907">
        <v>8.24</v>
      </c>
      <c r="M907" t="s">
        <v>5</v>
      </c>
      <c r="N907" t="s">
        <v>104</v>
      </c>
      <c r="O907" t="s">
        <v>27</v>
      </c>
      <c r="P907">
        <v>25239.57</v>
      </c>
      <c r="Q907">
        <v>1515639.77</v>
      </c>
      <c r="R907" t="s">
        <v>28</v>
      </c>
      <c r="S907" s="1">
        <v>45576</v>
      </c>
    </row>
    <row r="908" spans="1:19" x14ac:dyDescent="0.25">
      <c r="A908" s="5" t="s">
        <v>1853</v>
      </c>
      <c r="B908" s="5" t="s">
        <v>1854</v>
      </c>
      <c r="C908" s="5" t="s">
        <v>21</v>
      </c>
      <c r="D908" s="5">
        <v>40</v>
      </c>
      <c r="E908" s="5" t="s">
        <v>22</v>
      </c>
      <c r="F908" s="5" t="s">
        <v>42</v>
      </c>
      <c r="G908" s="5" t="s">
        <v>33</v>
      </c>
      <c r="H908" s="5">
        <v>1130361</v>
      </c>
      <c r="I908">
        <v>786</v>
      </c>
      <c r="J908">
        <v>822039</v>
      </c>
      <c r="K908">
        <v>12</v>
      </c>
      <c r="L908">
        <v>9.0299999999999994</v>
      </c>
      <c r="M908" t="s">
        <v>25</v>
      </c>
      <c r="N908" t="s">
        <v>34</v>
      </c>
      <c r="O908" t="s">
        <v>27</v>
      </c>
      <c r="P908">
        <v>74689.09</v>
      </c>
      <c r="Q908">
        <v>598594.93000000005</v>
      </c>
      <c r="R908" t="s">
        <v>28</v>
      </c>
      <c r="S908" s="1">
        <v>45467</v>
      </c>
    </row>
    <row r="909" spans="1:19" x14ac:dyDescent="0.25">
      <c r="A909" s="5" t="s">
        <v>1855</v>
      </c>
      <c r="B909" s="5" t="s">
        <v>1856</v>
      </c>
      <c r="C909" s="5" t="s">
        <v>31</v>
      </c>
      <c r="D909" s="5">
        <v>41</v>
      </c>
      <c r="E909" s="5" t="s">
        <v>22</v>
      </c>
      <c r="F909" s="5" t="s">
        <v>42</v>
      </c>
      <c r="G909" s="5" t="s">
        <v>24</v>
      </c>
      <c r="H909" s="5">
        <v>1539260</v>
      </c>
      <c r="I909">
        <v>559</v>
      </c>
      <c r="J909">
        <v>167607</v>
      </c>
      <c r="K909">
        <v>180</v>
      </c>
      <c r="L909">
        <v>13.51</v>
      </c>
      <c r="M909" t="s">
        <v>43</v>
      </c>
      <c r="N909" t="s">
        <v>44</v>
      </c>
      <c r="O909" t="s">
        <v>27</v>
      </c>
      <c r="P909">
        <v>1056.95</v>
      </c>
      <c r="Q909">
        <v>68941.19</v>
      </c>
      <c r="R909" t="s">
        <v>28</v>
      </c>
      <c r="S909" s="1">
        <v>45952</v>
      </c>
    </row>
    <row r="910" spans="1:19" x14ac:dyDescent="0.25">
      <c r="A910" s="5" t="s">
        <v>1857</v>
      </c>
      <c r="B910" s="5" t="s">
        <v>1858</v>
      </c>
      <c r="C910" s="5" t="s">
        <v>21</v>
      </c>
      <c r="D910" s="5">
        <v>40</v>
      </c>
      <c r="E910" s="5" t="s">
        <v>32</v>
      </c>
      <c r="F910" s="5" t="s">
        <v>42</v>
      </c>
      <c r="G910" s="5" t="s">
        <v>33</v>
      </c>
      <c r="H910" s="5">
        <v>1077116</v>
      </c>
      <c r="I910">
        <v>792</v>
      </c>
      <c r="J910">
        <v>1443913</v>
      </c>
      <c r="K910">
        <v>36</v>
      </c>
      <c r="L910">
        <v>7.62</v>
      </c>
      <c r="M910" t="s">
        <v>43</v>
      </c>
      <c r="N910" t="s">
        <v>44</v>
      </c>
      <c r="O910" t="s">
        <v>27</v>
      </c>
      <c r="P910">
        <v>43164.98</v>
      </c>
      <c r="Q910">
        <v>238812.62</v>
      </c>
      <c r="R910" t="s">
        <v>28</v>
      </c>
      <c r="S910" s="1">
        <v>45888</v>
      </c>
    </row>
    <row r="911" spans="1:19" x14ac:dyDescent="0.25">
      <c r="A911" s="5" t="s">
        <v>1859</v>
      </c>
      <c r="B911" s="5" t="s">
        <v>1860</v>
      </c>
      <c r="C911" s="5" t="s">
        <v>21</v>
      </c>
      <c r="D911" s="5">
        <v>46</v>
      </c>
      <c r="E911" s="5" t="s">
        <v>22</v>
      </c>
      <c r="F911" s="5" t="s">
        <v>23</v>
      </c>
      <c r="G911" s="5" t="s">
        <v>33</v>
      </c>
      <c r="H911" s="5">
        <v>1790373</v>
      </c>
      <c r="I911">
        <v>741</v>
      </c>
      <c r="J911">
        <v>1085208</v>
      </c>
      <c r="K911">
        <v>84</v>
      </c>
      <c r="L911">
        <v>10.050000000000001</v>
      </c>
      <c r="M911" t="s">
        <v>5</v>
      </c>
      <c r="N911" t="s">
        <v>44</v>
      </c>
      <c r="O911" t="s">
        <v>27</v>
      </c>
      <c r="P911">
        <v>14217.52</v>
      </c>
      <c r="Q911">
        <v>934213.77</v>
      </c>
      <c r="R911" t="s">
        <v>28</v>
      </c>
      <c r="S911" s="1">
        <v>45831</v>
      </c>
    </row>
    <row r="912" spans="1:19" x14ac:dyDescent="0.25">
      <c r="A912" s="5" t="s">
        <v>1861</v>
      </c>
      <c r="B912" s="5" t="s">
        <v>1862</v>
      </c>
      <c r="C912" s="5" t="s">
        <v>21</v>
      </c>
      <c r="D912" s="5">
        <v>24</v>
      </c>
      <c r="E912" s="5" t="s">
        <v>22</v>
      </c>
      <c r="F912" s="5" t="s">
        <v>42</v>
      </c>
      <c r="G912" s="5" t="s">
        <v>33</v>
      </c>
      <c r="H912" s="5">
        <v>894831</v>
      </c>
      <c r="I912">
        <v>814</v>
      </c>
      <c r="J912">
        <v>1923126</v>
      </c>
      <c r="K912">
        <v>48</v>
      </c>
      <c r="L912">
        <v>11.87</v>
      </c>
      <c r="M912" t="s">
        <v>25</v>
      </c>
      <c r="N912" t="s">
        <v>44</v>
      </c>
      <c r="O912" t="s">
        <v>27</v>
      </c>
      <c r="P912">
        <v>44820.86</v>
      </c>
      <c r="Q912">
        <v>1891728.48</v>
      </c>
      <c r="R912" t="s">
        <v>28</v>
      </c>
      <c r="S912" s="1">
        <v>45791</v>
      </c>
    </row>
    <row r="913" spans="1:19" x14ac:dyDescent="0.25">
      <c r="A913" s="5" t="s">
        <v>1863</v>
      </c>
      <c r="B913" s="5" t="s">
        <v>1864</v>
      </c>
      <c r="C913" s="5" t="s">
        <v>21</v>
      </c>
      <c r="D913" s="5">
        <v>56</v>
      </c>
      <c r="E913" s="5" t="s">
        <v>22</v>
      </c>
      <c r="F913" s="5" t="s">
        <v>42</v>
      </c>
      <c r="G913" s="5" t="s">
        <v>33</v>
      </c>
      <c r="H913" s="5">
        <v>758378</v>
      </c>
      <c r="I913">
        <v>827</v>
      </c>
      <c r="J913">
        <v>924813</v>
      </c>
      <c r="K913">
        <v>12</v>
      </c>
      <c r="L913">
        <v>11.96</v>
      </c>
      <c r="M913" t="s">
        <v>54</v>
      </c>
      <c r="N913" t="s">
        <v>34</v>
      </c>
      <c r="O913" t="s">
        <v>27</v>
      </c>
      <c r="P913">
        <v>86285.05</v>
      </c>
      <c r="Q913">
        <v>526532.64</v>
      </c>
      <c r="R913" t="s">
        <v>28</v>
      </c>
      <c r="S913" s="1">
        <v>45644</v>
      </c>
    </row>
    <row r="914" spans="1:19" x14ac:dyDescent="0.25">
      <c r="A914" s="5" t="s">
        <v>1865</v>
      </c>
      <c r="B914" s="5" t="s">
        <v>1866</v>
      </c>
      <c r="C914" s="5" t="s">
        <v>31</v>
      </c>
      <c r="D914" s="5">
        <v>49</v>
      </c>
      <c r="E914" s="5" t="s">
        <v>22</v>
      </c>
      <c r="F914" s="5" t="s">
        <v>23</v>
      </c>
      <c r="G914" s="5" t="s">
        <v>24</v>
      </c>
      <c r="H914" s="5">
        <v>305625</v>
      </c>
      <c r="I914">
        <v>846</v>
      </c>
      <c r="J914">
        <v>319849</v>
      </c>
      <c r="K914">
        <v>120</v>
      </c>
      <c r="L914">
        <v>12.73</v>
      </c>
      <c r="M914" t="s">
        <v>25</v>
      </c>
      <c r="N914" t="s">
        <v>34</v>
      </c>
      <c r="O914" t="s">
        <v>39</v>
      </c>
      <c r="P914">
        <v>3004.71</v>
      </c>
      <c r="Q914">
        <v>143483.46</v>
      </c>
      <c r="R914" t="s">
        <v>28</v>
      </c>
      <c r="S914" s="1">
        <v>45766</v>
      </c>
    </row>
    <row r="915" spans="1:19" x14ac:dyDescent="0.25">
      <c r="A915" s="5" t="s">
        <v>1867</v>
      </c>
      <c r="B915" s="5" t="s">
        <v>1868</v>
      </c>
      <c r="C915" s="5" t="s">
        <v>21</v>
      </c>
      <c r="D915" s="5">
        <v>27</v>
      </c>
      <c r="E915" s="5" t="s">
        <v>22</v>
      </c>
      <c r="F915" s="5" t="s">
        <v>42</v>
      </c>
      <c r="G915" s="5" t="s">
        <v>24</v>
      </c>
      <c r="H915" s="5">
        <v>1906459</v>
      </c>
      <c r="I915">
        <v>583</v>
      </c>
      <c r="J915">
        <v>472063</v>
      </c>
      <c r="K915">
        <v>24</v>
      </c>
      <c r="L915">
        <v>11.43</v>
      </c>
      <c r="M915" t="s">
        <v>54</v>
      </c>
      <c r="N915" t="s">
        <v>26</v>
      </c>
      <c r="O915" t="s">
        <v>39</v>
      </c>
      <c r="P915">
        <v>21917.49</v>
      </c>
      <c r="Q915">
        <v>343569.29</v>
      </c>
      <c r="R915" t="s">
        <v>28</v>
      </c>
      <c r="S915" s="1">
        <v>45326</v>
      </c>
    </row>
    <row r="916" spans="1:19" x14ac:dyDescent="0.25">
      <c r="A916" s="5" t="s">
        <v>1869</v>
      </c>
      <c r="B916" s="5" t="s">
        <v>1870</v>
      </c>
      <c r="C916" s="5" t="s">
        <v>31</v>
      </c>
      <c r="D916" s="5">
        <v>47</v>
      </c>
      <c r="E916" s="5" t="s">
        <v>32</v>
      </c>
      <c r="F916" s="5" t="s">
        <v>42</v>
      </c>
      <c r="G916" s="5" t="s">
        <v>24</v>
      </c>
      <c r="H916" s="5">
        <v>384711</v>
      </c>
      <c r="I916">
        <v>812</v>
      </c>
      <c r="J916">
        <v>1368959</v>
      </c>
      <c r="K916">
        <v>60</v>
      </c>
      <c r="L916">
        <v>7.59</v>
      </c>
      <c r="M916" t="s">
        <v>54</v>
      </c>
      <c r="N916" t="s">
        <v>38</v>
      </c>
      <c r="O916" t="s">
        <v>27</v>
      </c>
      <c r="P916">
        <v>24547.72</v>
      </c>
      <c r="Q916">
        <v>427261.77</v>
      </c>
      <c r="R916" t="s">
        <v>28</v>
      </c>
      <c r="S916" s="1">
        <v>45977</v>
      </c>
    </row>
    <row r="917" spans="1:19" x14ac:dyDescent="0.25">
      <c r="A917" s="5" t="s">
        <v>1871</v>
      </c>
      <c r="B917" s="5" t="s">
        <v>1872</v>
      </c>
      <c r="C917" s="5" t="s">
        <v>21</v>
      </c>
      <c r="D917" s="5">
        <v>33</v>
      </c>
      <c r="E917" s="5" t="s">
        <v>32</v>
      </c>
      <c r="F917" s="5" t="s">
        <v>42</v>
      </c>
      <c r="G917" s="5" t="s">
        <v>33</v>
      </c>
      <c r="H917" s="5">
        <v>1205428</v>
      </c>
      <c r="I917">
        <v>742</v>
      </c>
      <c r="J917">
        <v>720469</v>
      </c>
      <c r="K917">
        <v>180</v>
      </c>
      <c r="L917">
        <v>14.32</v>
      </c>
      <c r="M917" t="s">
        <v>43</v>
      </c>
      <c r="N917" t="s">
        <v>38</v>
      </c>
      <c r="O917" t="s">
        <v>27</v>
      </c>
      <c r="P917">
        <v>4575.78</v>
      </c>
      <c r="Q917">
        <v>302679.2</v>
      </c>
      <c r="R917" t="s">
        <v>28</v>
      </c>
      <c r="S917" s="1">
        <v>45365</v>
      </c>
    </row>
    <row r="918" spans="1:19" x14ac:dyDescent="0.25">
      <c r="A918" s="5" t="s">
        <v>1873</v>
      </c>
      <c r="B918" s="5" t="s">
        <v>1874</v>
      </c>
      <c r="C918" s="5" t="s">
        <v>21</v>
      </c>
      <c r="D918" s="5">
        <v>53</v>
      </c>
      <c r="E918" s="5" t="s">
        <v>32</v>
      </c>
      <c r="F918" s="5" t="s">
        <v>42</v>
      </c>
      <c r="G918" s="5" t="s">
        <v>33</v>
      </c>
      <c r="H918" s="5">
        <v>835073</v>
      </c>
      <c r="I918">
        <v>629</v>
      </c>
      <c r="J918">
        <v>1529288</v>
      </c>
      <c r="K918">
        <v>60</v>
      </c>
      <c r="L918">
        <v>10.44</v>
      </c>
      <c r="M918" t="s">
        <v>54</v>
      </c>
      <c r="N918" t="s">
        <v>51</v>
      </c>
      <c r="O918" t="s">
        <v>39</v>
      </c>
      <c r="P918">
        <v>28149.09</v>
      </c>
      <c r="Q918">
        <v>1518162.21</v>
      </c>
      <c r="R918" t="s">
        <v>28</v>
      </c>
      <c r="S918" s="1">
        <v>45950</v>
      </c>
    </row>
    <row r="919" spans="1:19" x14ac:dyDescent="0.25">
      <c r="A919" s="5" t="s">
        <v>1875</v>
      </c>
      <c r="B919" s="5" t="s">
        <v>1876</v>
      </c>
      <c r="C919" s="5" t="s">
        <v>21</v>
      </c>
      <c r="D919" s="5">
        <v>59</v>
      </c>
      <c r="E919" s="5" t="s">
        <v>32</v>
      </c>
      <c r="F919" s="5" t="s">
        <v>42</v>
      </c>
      <c r="G919" s="5" t="s">
        <v>24</v>
      </c>
      <c r="H919" s="5">
        <v>1025836</v>
      </c>
      <c r="I919">
        <v>751</v>
      </c>
      <c r="J919">
        <v>1944996</v>
      </c>
      <c r="K919">
        <v>12</v>
      </c>
      <c r="L919">
        <v>8.65</v>
      </c>
      <c r="M919" t="s">
        <v>43</v>
      </c>
      <c r="N919" t="s">
        <v>104</v>
      </c>
      <c r="O919" t="s">
        <v>27</v>
      </c>
      <c r="P919">
        <v>176103.18</v>
      </c>
      <c r="Q919">
        <v>1479729.42</v>
      </c>
      <c r="R919" t="s">
        <v>28</v>
      </c>
      <c r="S919" s="1">
        <v>45968</v>
      </c>
    </row>
    <row r="920" spans="1:19" x14ac:dyDescent="0.25">
      <c r="A920" s="5" t="s">
        <v>1877</v>
      </c>
      <c r="B920" s="5" t="s">
        <v>1878</v>
      </c>
      <c r="C920" s="5" t="s">
        <v>21</v>
      </c>
      <c r="D920" s="5">
        <v>43</v>
      </c>
      <c r="E920" s="5" t="s">
        <v>22</v>
      </c>
      <c r="F920" s="5" t="s">
        <v>23</v>
      </c>
      <c r="G920" s="5" t="s">
        <v>24</v>
      </c>
      <c r="H920" s="5">
        <v>1413569</v>
      </c>
      <c r="I920">
        <v>828</v>
      </c>
      <c r="J920">
        <v>1778443</v>
      </c>
      <c r="K920">
        <v>12</v>
      </c>
      <c r="L920">
        <v>10.029999999999999</v>
      </c>
      <c r="M920" t="s">
        <v>25</v>
      </c>
      <c r="N920" t="s">
        <v>26</v>
      </c>
      <c r="O920" t="s">
        <v>27</v>
      </c>
      <c r="P920">
        <v>163068.4</v>
      </c>
      <c r="Q920">
        <v>1608415.99</v>
      </c>
      <c r="R920" t="s">
        <v>28</v>
      </c>
      <c r="S920" s="1">
        <v>45787</v>
      </c>
    </row>
    <row r="921" spans="1:19" x14ac:dyDescent="0.25">
      <c r="A921" s="5" t="s">
        <v>1879</v>
      </c>
      <c r="B921" s="5" t="s">
        <v>1880</v>
      </c>
      <c r="C921" s="5" t="s">
        <v>21</v>
      </c>
      <c r="D921" s="5">
        <v>27</v>
      </c>
      <c r="E921" s="5" t="s">
        <v>22</v>
      </c>
      <c r="F921" s="5" t="s">
        <v>23</v>
      </c>
      <c r="G921" s="5" t="s">
        <v>24</v>
      </c>
      <c r="H921" s="5">
        <v>625757</v>
      </c>
      <c r="I921">
        <v>619</v>
      </c>
      <c r="J921">
        <v>1863923</v>
      </c>
      <c r="K921">
        <v>24</v>
      </c>
      <c r="L921">
        <v>12.12</v>
      </c>
      <c r="M921" t="s">
        <v>54</v>
      </c>
      <c r="N921" t="s">
        <v>26</v>
      </c>
      <c r="O921" t="s">
        <v>39</v>
      </c>
      <c r="P921">
        <v>87076.27</v>
      </c>
      <c r="Q921">
        <v>728949.6</v>
      </c>
      <c r="R921" t="s">
        <v>28</v>
      </c>
      <c r="S921" s="1">
        <v>45320</v>
      </c>
    </row>
    <row r="922" spans="1:19" x14ac:dyDescent="0.25">
      <c r="A922" s="5" t="s">
        <v>1881</v>
      </c>
      <c r="B922" s="5" t="s">
        <v>1882</v>
      </c>
      <c r="C922" s="5" t="s">
        <v>21</v>
      </c>
      <c r="D922" s="5">
        <v>29</v>
      </c>
      <c r="E922" s="5" t="s">
        <v>32</v>
      </c>
      <c r="F922" s="5" t="s">
        <v>42</v>
      </c>
      <c r="G922" s="5" t="s">
        <v>24</v>
      </c>
      <c r="H922" s="5">
        <v>616032</v>
      </c>
      <c r="I922">
        <v>822</v>
      </c>
      <c r="J922">
        <v>571442</v>
      </c>
      <c r="K922">
        <v>60</v>
      </c>
      <c r="L922">
        <v>8.31</v>
      </c>
      <c r="M922" t="s">
        <v>25</v>
      </c>
      <c r="N922" t="s">
        <v>26</v>
      </c>
      <c r="O922" t="s">
        <v>27</v>
      </c>
      <c r="P922">
        <v>10315.48</v>
      </c>
      <c r="Q922">
        <v>322381.83</v>
      </c>
      <c r="R922" t="s">
        <v>28</v>
      </c>
      <c r="S922" s="1">
        <v>45601</v>
      </c>
    </row>
    <row r="923" spans="1:19" x14ac:dyDescent="0.25">
      <c r="A923" s="5" t="s">
        <v>1883</v>
      </c>
      <c r="B923" s="5" t="s">
        <v>1884</v>
      </c>
      <c r="C923" s="5" t="s">
        <v>31</v>
      </c>
      <c r="D923" s="5">
        <v>49</v>
      </c>
      <c r="E923" s="5" t="s">
        <v>22</v>
      </c>
      <c r="F923" s="5" t="s">
        <v>42</v>
      </c>
      <c r="G923" s="5" t="s">
        <v>24</v>
      </c>
      <c r="H923" s="5">
        <v>1985071</v>
      </c>
      <c r="I923">
        <v>612</v>
      </c>
      <c r="J923">
        <v>521493</v>
      </c>
      <c r="K923">
        <v>180</v>
      </c>
      <c r="L923">
        <v>12.57</v>
      </c>
      <c r="M923" t="s">
        <v>25</v>
      </c>
      <c r="N923" t="s">
        <v>34</v>
      </c>
      <c r="O923" t="s">
        <v>27</v>
      </c>
      <c r="P923">
        <v>3261.36</v>
      </c>
      <c r="Q923">
        <v>400572.52</v>
      </c>
      <c r="R923" t="s">
        <v>28</v>
      </c>
      <c r="S923" s="1">
        <v>45679</v>
      </c>
    </row>
    <row r="924" spans="1:19" x14ac:dyDescent="0.25">
      <c r="A924" s="5" t="s">
        <v>1885</v>
      </c>
      <c r="B924" s="5" t="s">
        <v>1886</v>
      </c>
      <c r="C924" s="5" t="s">
        <v>21</v>
      </c>
      <c r="D924" s="5">
        <v>39</v>
      </c>
      <c r="E924" s="5" t="s">
        <v>32</v>
      </c>
      <c r="F924" s="5" t="s">
        <v>42</v>
      </c>
      <c r="G924" s="5" t="s">
        <v>33</v>
      </c>
      <c r="H924" s="5">
        <v>905069</v>
      </c>
      <c r="I924">
        <v>820</v>
      </c>
      <c r="J924">
        <v>906189</v>
      </c>
      <c r="K924">
        <v>84</v>
      </c>
      <c r="L924">
        <v>11.59</v>
      </c>
      <c r="M924" t="s">
        <v>25</v>
      </c>
      <c r="N924" t="s">
        <v>104</v>
      </c>
      <c r="O924" t="s">
        <v>27</v>
      </c>
      <c r="P924">
        <v>12038.29</v>
      </c>
      <c r="Q924">
        <v>448225.67</v>
      </c>
      <c r="R924" t="s">
        <v>28</v>
      </c>
      <c r="S924" s="1">
        <v>45331</v>
      </c>
    </row>
    <row r="925" spans="1:19" x14ac:dyDescent="0.25">
      <c r="A925" s="5" t="s">
        <v>1887</v>
      </c>
      <c r="B925" s="5" t="s">
        <v>1888</v>
      </c>
      <c r="C925" s="5" t="s">
        <v>21</v>
      </c>
      <c r="D925" s="5">
        <v>41</v>
      </c>
      <c r="E925" s="5" t="s">
        <v>32</v>
      </c>
      <c r="F925" s="5" t="s">
        <v>42</v>
      </c>
      <c r="G925" s="5" t="s">
        <v>24</v>
      </c>
      <c r="H925" s="5">
        <v>1319656</v>
      </c>
      <c r="I925">
        <v>612</v>
      </c>
      <c r="J925">
        <v>1178350</v>
      </c>
      <c r="K925">
        <v>48</v>
      </c>
      <c r="L925">
        <v>9.1999999999999993</v>
      </c>
      <c r="M925" t="s">
        <v>57</v>
      </c>
      <c r="N925" t="s">
        <v>51</v>
      </c>
      <c r="O925" t="s">
        <v>39</v>
      </c>
      <c r="P925">
        <v>26807.46</v>
      </c>
      <c r="Q925">
        <v>216870.49</v>
      </c>
      <c r="R925" t="s">
        <v>28</v>
      </c>
      <c r="S925" s="1">
        <v>45729</v>
      </c>
    </row>
    <row r="926" spans="1:19" x14ac:dyDescent="0.25">
      <c r="A926" s="5" t="s">
        <v>1889</v>
      </c>
      <c r="B926" s="5" t="s">
        <v>1890</v>
      </c>
      <c r="C926" s="5" t="s">
        <v>21</v>
      </c>
      <c r="D926" s="5">
        <v>30</v>
      </c>
      <c r="E926" s="5" t="s">
        <v>32</v>
      </c>
      <c r="F926" s="5" t="s">
        <v>42</v>
      </c>
      <c r="G926" s="5" t="s">
        <v>24</v>
      </c>
      <c r="H926" s="5">
        <v>1755326</v>
      </c>
      <c r="I926">
        <v>724</v>
      </c>
      <c r="J926">
        <v>383982</v>
      </c>
      <c r="K926">
        <v>48</v>
      </c>
      <c r="L926">
        <v>14.96</v>
      </c>
      <c r="M926" t="s">
        <v>54</v>
      </c>
      <c r="N926" t="s">
        <v>26</v>
      </c>
      <c r="O926" t="s">
        <v>27</v>
      </c>
      <c r="P926">
        <v>9196.3700000000008</v>
      </c>
      <c r="Q926">
        <v>348765.4</v>
      </c>
      <c r="R926" t="s">
        <v>28</v>
      </c>
      <c r="S926" s="1">
        <v>45390</v>
      </c>
    </row>
    <row r="927" spans="1:19" x14ac:dyDescent="0.25">
      <c r="A927" s="5" t="s">
        <v>1891</v>
      </c>
      <c r="B927" s="5" t="s">
        <v>1892</v>
      </c>
      <c r="C927" s="5" t="s">
        <v>21</v>
      </c>
      <c r="D927" s="5">
        <v>48</v>
      </c>
      <c r="E927" s="5" t="s">
        <v>32</v>
      </c>
      <c r="F927" s="5" t="s">
        <v>23</v>
      </c>
      <c r="G927" s="5" t="s">
        <v>24</v>
      </c>
      <c r="H927" s="5">
        <v>1429888</v>
      </c>
      <c r="I927">
        <v>612</v>
      </c>
      <c r="J927">
        <v>825379</v>
      </c>
      <c r="K927">
        <v>12</v>
      </c>
      <c r="L927">
        <v>8.3800000000000008</v>
      </c>
      <c r="M927" t="s">
        <v>54</v>
      </c>
      <c r="N927" t="s">
        <v>38</v>
      </c>
      <c r="O927" t="s">
        <v>27</v>
      </c>
      <c r="P927">
        <v>74545.48</v>
      </c>
      <c r="Q927">
        <v>490168.68</v>
      </c>
      <c r="R927" t="s">
        <v>28</v>
      </c>
      <c r="S927" s="1">
        <v>45572</v>
      </c>
    </row>
    <row r="928" spans="1:19" x14ac:dyDescent="0.25">
      <c r="A928" s="5" t="s">
        <v>1893</v>
      </c>
      <c r="B928" s="5" t="s">
        <v>1894</v>
      </c>
      <c r="C928" s="5" t="s">
        <v>21</v>
      </c>
      <c r="D928" s="5">
        <v>48</v>
      </c>
      <c r="E928" s="5" t="s">
        <v>22</v>
      </c>
      <c r="F928" s="5" t="s">
        <v>42</v>
      </c>
      <c r="G928" s="5" t="s">
        <v>24</v>
      </c>
      <c r="H928" s="5">
        <v>934947</v>
      </c>
      <c r="I928">
        <v>684</v>
      </c>
      <c r="J928">
        <v>1710995</v>
      </c>
      <c r="K928">
        <v>36</v>
      </c>
      <c r="L928">
        <v>10.53</v>
      </c>
      <c r="M928" t="s">
        <v>54</v>
      </c>
      <c r="N928" t="s">
        <v>44</v>
      </c>
      <c r="O928" t="s">
        <v>27</v>
      </c>
      <c r="P928">
        <v>52532.3</v>
      </c>
      <c r="Q928">
        <v>377310.71</v>
      </c>
      <c r="R928" t="s">
        <v>28</v>
      </c>
      <c r="S928" s="1">
        <v>45396</v>
      </c>
    </row>
    <row r="929" spans="1:19" x14ac:dyDescent="0.25">
      <c r="A929" s="5" t="s">
        <v>1895</v>
      </c>
      <c r="B929" s="5" t="s">
        <v>1896</v>
      </c>
      <c r="C929" s="5" t="s">
        <v>21</v>
      </c>
      <c r="D929" s="5">
        <v>25</v>
      </c>
      <c r="E929" s="5" t="s">
        <v>32</v>
      </c>
      <c r="F929" s="5" t="s">
        <v>42</v>
      </c>
      <c r="G929" s="5" t="s">
        <v>24</v>
      </c>
      <c r="H929" s="5">
        <v>659759</v>
      </c>
      <c r="I929">
        <v>725</v>
      </c>
      <c r="J929">
        <v>889575</v>
      </c>
      <c r="K929">
        <v>120</v>
      </c>
      <c r="L929">
        <v>14.9</v>
      </c>
      <c r="M929" t="s">
        <v>57</v>
      </c>
      <c r="N929" t="s">
        <v>26</v>
      </c>
      <c r="O929" t="s">
        <v>27</v>
      </c>
      <c r="P929">
        <v>8517.68</v>
      </c>
      <c r="Q929">
        <v>641121</v>
      </c>
      <c r="R929" t="s">
        <v>28</v>
      </c>
      <c r="S929" s="1">
        <v>45390</v>
      </c>
    </row>
    <row r="930" spans="1:19" x14ac:dyDescent="0.25">
      <c r="A930" s="5" t="s">
        <v>1897</v>
      </c>
      <c r="B930" s="5" t="s">
        <v>1898</v>
      </c>
      <c r="C930" s="5" t="s">
        <v>21</v>
      </c>
      <c r="D930" s="5">
        <v>23</v>
      </c>
      <c r="E930" s="5" t="s">
        <v>22</v>
      </c>
      <c r="F930" s="5" t="s">
        <v>42</v>
      </c>
      <c r="G930" s="5" t="s">
        <v>24</v>
      </c>
      <c r="H930" s="5">
        <v>616672</v>
      </c>
      <c r="I930">
        <v>771</v>
      </c>
      <c r="J930">
        <v>276467</v>
      </c>
      <c r="K930">
        <v>60</v>
      </c>
      <c r="L930">
        <v>14.12</v>
      </c>
      <c r="M930" t="s">
        <v>5</v>
      </c>
      <c r="N930" t="s">
        <v>104</v>
      </c>
      <c r="O930" t="s">
        <v>27</v>
      </c>
      <c r="P930">
        <v>5258.4</v>
      </c>
      <c r="Q930">
        <v>115989.39</v>
      </c>
      <c r="R930" t="s">
        <v>28</v>
      </c>
      <c r="S930" s="1">
        <v>45650</v>
      </c>
    </row>
    <row r="931" spans="1:19" x14ac:dyDescent="0.25">
      <c r="A931" s="5" t="s">
        <v>1899</v>
      </c>
      <c r="B931" s="5" t="s">
        <v>1900</v>
      </c>
      <c r="C931" s="5" t="s">
        <v>31</v>
      </c>
      <c r="D931" s="5">
        <v>40</v>
      </c>
      <c r="E931" s="5" t="s">
        <v>32</v>
      </c>
      <c r="F931" s="5" t="s">
        <v>42</v>
      </c>
      <c r="G931" s="5" t="s">
        <v>33</v>
      </c>
      <c r="H931" s="5">
        <v>412808</v>
      </c>
      <c r="I931">
        <v>595</v>
      </c>
      <c r="J931">
        <v>609488</v>
      </c>
      <c r="K931">
        <v>36</v>
      </c>
      <c r="L931">
        <v>11.56</v>
      </c>
      <c r="M931" t="s">
        <v>54</v>
      </c>
      <c r="N931" t="s">
        <v>104</v>
      </c>
      <c r="O931" t="s">
        <v>27</v>
      </c>
      <c r="P931">
        <v>18887.36</v>
      </c>
      <c r="Q931">
        <v>579179.92000000004</v>
      </c>
      <c r="R931" t="s">
        <v>35</v>
      </c>
      <c r="S931" s="1">
        <v>45606</v>
      </c>
    </row>
    <row r="932" spans="1:19" x14ac:dyDescent="0.25">
      <c r="A932" s="5" t="s">
        <v>1901</v>
      </c>
      <c r="B932" s="5" t="s">
        <v>1902</v>
      </c>
      <c r="C932" s="5" t="s">
        <v>21</v>
      </c>
      <c r="D932" s="5">
        <v>58</v>
      </c>
      <c r="E932" s="5" t="s">
        <v>32</v>
      </c>
      <c r="F932" s="5" t="s">
        <v>42</v>
      </c>
      <c r="G932" s="5" t="s">
        <v>24</v>
      </c>
      <c r="H932" s="5">
        <v>1267234</v>
      </c>
      <c r="I932">
        <v>817</v>
      </c>
      <c r="J932">
        <v>850147</v>
      </c>
      <c r="K932">
        <v>12</v>
      </c>
      <c r="L932">
        <v>11.12</v>
      </c>
      <c r="M932" t="s">
        <v>43</v>
      </c>
      <c r="N932" t="s">
        <v>104</v>
      </c>
      <c r="O932" t="s">
        <v>27</v>
      </c>
      <c r="P932">
        <v>78723.61</v>
      </c>
      <c r="Q932">
        <v>765437.48</v>
      </c>
      <c r="R932" t="s">
        <v>28</v>
      </c>
      <c r="S932" s="1">
        <v>45313</v>
      </c>
    </row>
    <row r="933" spans="1:19" x14ac:dyDescent="0.25">
      <c r="A933" s="5" t="s">
        <v>1903</v>
      </c>
      <c r="B933" s="5" t="s">
        <v>1904</v>
      </c>
      <c r="C933" s="5" t="s">
        <v>21</v>
      </c>
      <c r="D933" s="5">
        <v>53</v>
      </c>
      <c r="E933" s="5" t="s">
        <v>22</v>
      </c>
      <c r="F933" s="5" t="s">
        <v>23</v>
      </c>
      <c r="G933" s="5" t="s">
        <v>33</v>
      </c>
      <c r="H933" s="5">
        <v>1930206</v>
      </c>
      <c r="I933">
        <v>553</v>
      </c>
      <c r="J933">
        <v>730789</v>
      </c>
      <c r="K933">
        <v>48</v>
      </c>
      <c r="L933">
        <v>15.02</v>
      </c>
      <c r="M933" t="s">
        <v>54</v>
      </c>
      <c r="N933" t="s">
        <v>26</v>
      </c>
      <c r="O933" t="s">
        <v>39</v>
      </c>
      <c r="P933">
        <v>17511.53</v>
      </c>
      <c r="Q933">
        <v>587020.80000000005</v>
      </c>
      <c r="R933" t="s">
        <v>28</v>
      </c>
      <c r="S933" s="1">
        <v>45904</v>
      </c>
    </row>
    <row r="934" spans="1:19" x14ac:dyDescent="0.25">
      <c r="A934" s="5" t="s">
        <v>1905</v>
      </c>
      <c r="B934" s="5" t="s">
        <v>1906</v>
      </c>
      <c r="C934" s="5" t="s">
        <v>21</v>
      </c>
      <c r="D934" s="5">
        <v>37</v>
      </c>
      <c r="E934" s="5" t="s">
        <v>22</v>
      </c>
      <c r="F934" s="5" t="s">
        <v>23</v>
      </c>
      <c r="G934" s="5" t="s">
        <v>33</v>
      </c>
      <c r="H934" s="5">
        <v>603271</v>
      </c>
      <c r="I934">
        <v>628</v>
      </c>
      <c r="J934">
        <v>1493894</v>
      </c>
      <c r="K934">
        <v>36</v>
      </c>
      <c r="L934">
        <v>11.05</v>
      </c>
      <c r="M934" t="s">
        <v>54</v>
      </c>
      <c r="N934" t="s">
        <v>34</v>
      </c>
      <c r="O934" t="s">
        <v>39</v>
      </c>
      <c r="P934">
        <v>46082.48</v>
      </c>
      <c r="Q934">
        <v>439727.38</v>
      </c>
      <c r="R934" t="s">
        <v>28</v>
      </c>
      <c r="S934" s="1">
        <v>45623</v>
      </c>
    </row>
    <row r="935" spans="1:19" x14ac:dyDescent="0.25">
      <c r="A935" s="5" t="s">
        <v>1907</v>
      </c>
      <c r="B935" s="5" t="s">
        <v>1908</v>
      </c>
      <c r="C935" s="5" t="s">
        <v>31</v>
      </c>
      <c r="D935" s="5">
        <v>24</v>
      </c>
      <c r="E935" s="5" t="s">
        <v>22</v>
      </c>
      <c r="F935" s="5" t="s">
        <v>23</v>
      </c>
      <c r="G935" s="5" t="s">
        <v>24</v>
      </c>
      <c r="H935" s="5">
        <v>1181765</v>
      </c>
      <c r="I935">
        <v>710</v>
      </c>
      <c r="J935">
        <v>918426</v>
      </c>
      <c r="K935">
        <v>24</v>
      </c>
      <c r="L935">
        <v>12.54</v>
      </c>
      <c r="M935" t="s">
        <v>43</v>
      </c>
      <c r="N935" t="s">
        <v>44</v>
      </c>
      <c r="O935" t="s">
        <v>27</v>
      </c>
      <c r="P935">
        <v>43066.53</v>
      </c>
      <c r="Q935">
        <v>741072.73</v>
      </c>
      <c r="R935" t="s">
        <v>28</v>
      </c>
      <c r="S935" s="1">
        <v>45786</v>
      </c>
    </row>
    <row r="936" spans="1:19" x14ac:dyDescent="0.25">
      <c r="A936" s="5" t="s">
        <v>1909</v>
      </c>
      <c r="B936" s="5" t="s">
        <v>1910</v>
      </c>
      <c r="C936" s="5" t="s">
        <v>21</v>
      </c>
      <c r="D936" s="5">
        <v>24</v>
      </c>
      <c r="E936" s="5" t="s">
        <v>32</v>
      </c>
      <c r="F936" s="5" t="s">
        <v>42</v>
      </c>
      <c r="G936" s="5" t="s">
        <v>33</v>
      </c>
      <c r="H936" s="5">
        <v>257350</v>
      </c>
      <c r="I936">
        <v>799</v>
      </c>
      <c r="J936">
        <v>190994</v>
      </c>
      <c r="K936">
        <v>24</v>
      </c>
      <c r="L936">
        <v>10.97</v>
      </c>
      <c r="M936" t="s">
        <v>25</v>
      </c>
      <c r="N936" t="s">
        <v>26</v>
      </c>
      <c r="O936" t="s">
        <v>39</v>
      </c>
      <c r="P936">
        <v>8831.09</v>
      </c>
      <c r="Q936">
        <v>151096.4</v>
      </c>
      <c r="R936" t="s">
        <v>28</v>
      </c>
      <c r="S936" s="1">
        <v>45308</v>
      </c>
    </row>
    <row r="937" spans="1:19" x14ac:dyDescent="0.25">
      <c r="A937" s="5" t="s">
        <v>1911</v>
      </c>
      <c r="B937" s="5" t="s">
        <v>1912</v>
      </c>
      <c r="C937" s="5" t="s">
        <v>31</v>
      </c>
      <c r="D937" s="5">
        <v>38</v>
      </c>
      <c r="E937" s="5" t="s">
        <v>32</v>
      </c>
      <c r="F937" s="5" t="s">
        <v>23</v>
      </c>
      <c r="G937" s="5" t="s">
        <v>33</v>
      </c>
      <c r="H937" s="5">
        <v>318666</v>
      </c>
      <c r="I937">
        <v>634</v>
      </c>
      <c r="J937">
        <v>1667758</v>
      </c>
      <c r="K937">
        <v>240</v>
      </c>
      <c r="L937">
        <v>8.64</v>
      </c>
      <c r="M937" t="s">
        <v>25</v>
      </c>
      <c r="N937" t="s">
        <v>51</v>
      </c>
      <c r="O937" t="s">
        <v>39</v>
      </c>
      <c r="P937">
        <v>7549.38</v>
      </c>
      <c r="Q937">
        <v>858043.3</v>
      </c>
      <c r="R937" t="s">
        <v>28</v>
      </c>
      <c r="S937" s="1">
        <v>45919</v>
      </c>
    </row>
    <row r="938" spans="1:19" x14ac:dyDescent="0.25">
      <c r="A938" s="5" t="s">
        <v>1913</v>
      </c>
      <c r="B938" s="5" t="s">
        <v>1914</v>
      </c>
      <c r="C938" s="5" t="s">
        <v>31</v>
      </c>
      <c r="D938" s="5">
        <v>23</v>
      </c>
      <c r="E938" s="5" t="s">
        <v>32</v>
      </c>
      <c r="F938" s="5" t="s">
        <v>23</v>
      </c>
      <c r="G938" s="5" t="s">
        <v>24</v>
      </c>
      <c r="H938" s="5">
        <v>945141</v>
      </c>
      <c r="I938">
        <v>793</v>
      </c>
      <c r="J938">
        <v>1785867</v>
      </c>
      <c r="K938">
        <v>240</v>
      </c>
      <c r="L938">
        <v>14.45</v>
      </c>
      <c r="M938" t="s">
        <v>5</v>
      </c>
      <c r="N938" t="s">
        <v>44</v>
      </c>
      <c r="O938" t="s">
        <v>27</v>
      </c>
      <c r="P938">
        <v>8516.35</v>
      </c>
      <c r="Q938">
        <v>1519829.6</v>
      </c>
      <c r="R938" t="s">
        <v>28</v>
      </c>
      <c r="S938" s="1">
        <v>45874</v>
      </c>
    </row>
    <row r="939" spans="1:19" x14ac:dyDescent="0.25">
      <c r="A939" s="5" t="s">
        <v>1915</v>
      </c>
      <c r="B939" s="5" t="s">
        <v>1916</v>
      </c>
      <c r="C939" s="5" t="s">
        <v>31</v>
      </c>
      <c r="D939" s="5">
        <v>32</v>
      </c>
      <c r="E939" s="5" t="s">
        <v>22</v>
      </c>
      <c r="F939" s="5" t="s">
        <v>23</v>
      </c>
      <c r="G939" s="5" t="s">
        <v>24</v>
      </c>
      <c r="H939" s="5">
        <v>261145</v>
      </c>
      <c r="I939">
        <v>723</v>
      </c>
      <c r="J939">
        <v>791203</v>
      </c>
      <c r="K939">
        <v>24</v>
      </c>
      <c r="L939">
        <v>10.38</v>
      </c>
      <c r="M939" t="s">
        <v>57</v>
      </c>
      <c r="N939" t="s">
        <v>104</v>
      </c>
      <c r="O939" t="s">
        <v>39</v>
      </c>
      <c r="P939">
        <v>36388.74</v>
      </c>
      <c r="Q939">
        <v>336293.4</v>
      </c>
      <c r="R939" t="s">
        <v>28</v>
      </c>
      <c r="S939" s="1">
        <v>46011</v>
      </c>
    </row>
    <row r="940" spans="1:19" x14ac:dyDescent="0.25">
      <c r="A940" s="5" t="s">
        <v>1917</v>
      </c>
      <c r="B940" s="5" t="s">
        <v>1918</v>
      </c>
      <c r="C940" s="5" t="s">
        <v>31</v>
      </c>
      <c r="D940" s="5">
        <v>39</v>
      </c>
      <c r="E940" s="5" t="s">
        <v>32</v>
      </c>
      <c r="F940" s="5" t="s">
        <v>23</v>
      </c>
      <c r="G940" s="5" t="s">
        <v>24</v>
      </c>
      <c r="H940" s="5">
        <v>933920</v>
      </c>
      <c r="I940">
        <v>776</v>
      </c>
      <c r="J940">
        <v>681771</v>
      </c>
      <c r="K940">
        <v>48</v>
      </c>
      <c r="L940">
        <v>11.39</v>
      </c>
      <c r="M940" t="s">
        <v>5</v>
      </c>
      <c r="N940" t="s">
        <v>38</v>
      </c>
      <c r="O940" t="s">
        <v>27</v>
      </c>
      <c r="P940">
        <v>15821.35</v>
      </c>
      <c r="Q940">
        <v>309836.94</v>
      </c>
      <c r="R940" t="s">
        <v>28</v>
      </c>
      <c r="S940" s="1">
        <v>45773</v>
      </c>
    </row>
    <row r="941" spans="1:19" x14ac:dyDescent="0.25">
      <c r="A941" s="5" t="s">
        <v>1919</v>
      </c>
      <c r="B941" s="5" t="s">
        <v>1920</v>
      </c>
      <c r="C941" s="5" t="s">
        <v>31</v>
      </c>
      <c r="D941" s="5">
        <v>22</v>
      </c>
      <c r="E941" s="5" t="s">
        <v>32</v>
      </c>
      <c r="F941" s="5" t="s">
        <v>23</v>
      </c>
      <c r="G941" s="5" t="s">
        <v>33</v>
      </c>
      <c r="H941" s="5">
        <v>1766983</v>
      </c>
      <c r="I941">
        <v>694</v>
      </c>
      <c r="J941">
        <v>1488986</v>
      </c>
      <c r="K941">
        <v>240</v>
      </c>
      <c r="L941">
        <v>8.16</v>
      </c>
      <c r="M941" t="s">
        <v>5</v>
      </c>
      <c r="N941" t="s">
        <v>34</v>
      </c>
      <c r="O941" t="s">
        <v>27</v>
      </c>
      <c r="P941">
        <v>6710.36</v>
      </c>
      <c r="Q941">
        <v>696704.28</v>
      </c>
      <c r="R941" t="s">
        <v>28</v>
      </c>
      <c r="S941" s="1">
        <v>45677</v>
      </c>
    </row>
    <row r="942" spans="1:19" x14ac:dyDescent="0.25">
      <c r="A942" s="5" t="s">
        <v>1921</v>
      </c>
      <c r="B942" s="5" t="s">
        <v>1922</v>
      </c>
      <c r="C942" s="5" t="s">
        <v>21</v>
      </c>
      <c r="D942" s="5">
        <v>46</v>
      </c>
      <c r="E942" s="5" t="s">
        <v>22</v>
      </c>
      <c r="F942" s="5" t="s">
        <v>42</v>
      </c>
      <c r="G942" s="5" t="s">
        <v>33</v>
      </c>
      <c r="H942" s="5">
        <v>556634</v>
      </c>
      <c r="I942">
        <v>771</v>
      </c>
      <c r="J942">
        <v>933165</v>
      </c>
      <c r="K942">
        <v>120</v>
      </c>
      <c r="L942">
        <v>14.67</v>
      </c>
      <c r="M942" t="s">
        <v>43</v>
      </c>
      <c r="N942" t="s">
        <v>51</v>
      </c>
      <c r="O942" t="s">
        <v>27</v>
      </c>
      <c r="P942">
        <v>8917.17</v>
      </c>
      <c r="Q942">
        <v>501064.14</v>
      </c>
      <c r="R942" t="s">
        <v>28</v>
      </c>
      <c r="S942" s="1">
        <v>45806</v>
      </c>
    </row>
    <row r="943" spans="1:19" x14ac:dyDescent="0.25">
      <c r="A943" s="5" t="s">
        <v>1923</v>
      </c>
      <c r="B943" s="5" t="s">
        <v>1924</v>
      </c>
      <c r="C943" s="5" t="s">
        <v>31</v>
      </c>
      <c r="D943" s="5">
        <v>33</v>
      </c>
      <c r="E943" s="5" t="s">
        <v>32</v>
      </c>
      <c r="F943" s="5" t="s">
        <v>42</v>
      </c>
      <c r="G943" s="5" t="s">
        <v>24</v>
      </c>
      <c r="H943" s="5">
        <v>1582029</v>
      </c>
      <c r="I943">
        <v>700</v>
      </c>
      <c r="J943">
        <v>1543074</v>
      </c>
      <c r="K943">
        <v>120</v>
      </c>
      <c r="L943">
        <v>7.88</v>
      </c>
      <c r="M943" t="s">
        <v>5</v>
      </c>
      <c r="N943" t="s">
        <v>38</v>
      </c>
      <c r="O943" t="s">
        <v>27</v>
      </c>
      <c r="P943">
        <v>13872.24</v>
      </c>
      <c r="Q943">
        <v>1025631.91</v>
      </c>
      <c r="R943" t="s">
        <v>28</v>
      </c>
      <c r="S943" s="1">
        <v>45916</v>
      </c>
    </row>
    <row r="944" spans="1:19" x14ac:dyDescent="0.25">
      <c r="A944" s="5" t="s">
        <v>1925</v>
      </c>
      <c r="B944" s="5" t="s">
        <v>1926</v>
      </c>
      <c r="C944" s="5" t="s">
        <v>31</v>
      </c>
      <c r="D944" s="5">
        <v>57</v>
      </c>
      <c r="E944" s="5" t="s">
        <v>22</v>
      </c>
      <c r="F944" s="5" t="s">
        <v>42</v>
      </c>
      <c r="G944" s="5" t="s">
        <v>24</v>
      </c>
      <c r="H944" s="5">
        <v>864411</v>
      </c>
      <c r="I944">
        <v>800</v>
      </c>
      <c r="J944">
        <v>1181546</v>
      </c>
      <c r="K944">
        <v>60</v>
      </c>
      <c r="L944">
        <v>10.49</v>
      </c>
      <c r="M944" t="s">
        <v>43</v>
      </c>
      <c r="N944" t="s">
        <v>104</v>
      </c>
      <c r="O944" t="s">
        <v>27</v>
      </c>
      <c r="P944">
        <v>21758.17</v>
      </c>
      <c r="Q944">
        <v>367306.78</v>
      </c>
      <c r="R944" t="s">
        <v>28</v>
      </c>
      <c r="S944" s="1">
        <v>45351</v>
      </c>
    </row>
    <row r="945" spans="1:19" x14ac:dyDescent="0.25">
      <c r="A945" s="5" t="s">
        <v>1927</v>
      </c>
      <c r="B945" s="5" t="s">
        <v>1928</v>
      </c>
      <c r="C945" s="5" t="s">
        <v>31</v>
      </c>
      <c r="D945" s="5">
        <v>22</v>
      </c>
      <c r="E945" s="5" t="s">
        <v>32</v>
      </c>
      <c r="F945" s="5" t="s">
        <v>23</v>
      </c>
      <c r="G945" s="5" t="s">
        <v>33</v>
      </c>
      <c r="H945" s="5">
        <v>1585970</v>
      </c>
      <c r="I945">
        <v>738</v>
      </c>
      <c r="J945">
        <v>1507539</v>
      </c>
      <c r="K945">
        <v>240</v>
      </c>
      <c r="L945">
        <v>12.44</v>
      </c>
      <c r="M945" t="s">
        <v>43</v>
      </c>
      <c r="N945" t="s">
        <v>26</v>
      </c>
      <c r="O945" t="s">
        <v>27</v>
      </c>
      <c r="P945">
        <v>7062.82</v>
      </c>
      <c r="Q945">
        <v>967842.62</v>
      </c>
      <c r="R945" t="s">
        <v>28</v>
      </c>
      <c r="S945" s="1">
        <v>45737</v>
      </c>
    </row>
    <row r="946" spans="1:19" x14ac:dyDescent="0.25">
      <c r="A946" s="5" t="s">
        <v>1929</v>
      </c>
      <c r="B946" s="5" t="s">
        <v>1930</v>
      </c>
      <c r="C946" s="5" t="s">
        <v>31</v>
      </c>
      <c r="D946" s="5">
        <v>54</v>
      </c>
      <c r="E946" s="5" t="s">
        <v>32</v>
      </c>
      <c r="F946" s="5" t="s">
        <v>42</v>
      </c>
      <c r="G946" s="5" t="s">
        <v>24</v>
      </c>
      <c r="H946" s="5">
        <v>1982532</v>
      </c>
      <c r="I946">
        <v>575</v>
      </c>
      <c r="J946">
        <v>1048753</v>
      </c>
      <c r="K946">
        <v>60</v>
      </c>
      <c r="L946">
        <v>13.3</v>
      </c>
      <c r="M946" t="s">
        <v>57</v>
      </c>
      <c r="N946" t="s">
        <v>26</v>
      </c>
      <c r="O946" t="s">
        <v>39</v>
      </c>
      <c r="P946">
        <v>19803.95</v>
      </c>
      <c r="Q946">
        <v>984122.64</v>
      </c>
      <c r="R946" t="s">
        <v>28</v>
      </c>
      <c r="S946" s="1">
        <v>45306</v>
      </c>
    </row>
    <row r="947" spans="1:19" x14ac:dyDescent="0.25">
      <c r="A947" s="5" t="s">
        <v>1931</v>
      </c>
      <c r="B947" s="5" t="s">
        <v>1932</v>
      </c>
      <c r="C947" s="5" t="s">
        <v>31</v>
      </c>
      <c r="D947" s="5">
        <v>31</v>
      </c>
      <c r="E947" s="5" t="s">
        <v>22</v>
      </c>
      <c r="F947" s="5" t="s">
        <v>42</v>
      </c>
      <c r="G947" s="5" t="s">
        <v>33</v>
      </c>
      <c r="H947" s="5">
        <v>1097103</v>
      </c>
      <c r="I947">
        <v>558</v>
      </c>
      <c r="J947">
        <v>740585</v>
      </c>
      <c r="K947">
        <v>48</v>
      </c>
      <c r="L947">
        <v>8.24</v>
      </c>
      <c r="M947" t="s">
        <v>25</v>
      </c>
      <c r="N947" t="s">
        <v>38</v>
      </c>
      <c r="O947" t="s">
        <v>39</v>
      </c>
      <c r="P947">
        <v>16700.189999999999</v>
      </c>
      <c r="Q947">
        <v>529822.82999999996</v>
      </c>
      <c r="R947" t="s">
        <v>28</v>
      </c>
      <c r="S947" s="1">
        <v>45749</v>
      </c>
    </row>
    <row r="948" spans="1:19" x14ac:dyDescent="0.25">
      <c r="A948" s="5" t="s">
        <v>1933</v>
      </c>
      <c r="B948" s="5" t="s">
        <v>1934</v>
      </c>
      <c r="C948" s="5" t="s">
        <v>31</v>
      </c>
      <c r="D948" s="5">
        <v>55</v>
      </c>
      <c r="E948" s="5" t="s">
        <v>32</v>
      </c>
      <c r="F948" s="5" t="s">
        <v>23</v>
      </c>
      <c r="G948" s="5" t="s">
        <v>24</v>
      </c>
      <c r="H948" s="5">
        <v>431511</v>
      </c>
      <c r="I948">
        <v>611</v>
      </c>
      <c r="J948">
        <v>1921594</v>
      </c>
      <c r="K948">
        <v>48</v>
      </c>
      <c r="L948">
        <v>11.89</v>
      </c>
      <c r="M948" t="s">
        <v>54</v>
      </c>
      <c r="N948" t="s">
        <v>38</v>
      </c>
      <c r="O948" t="s">
        <v>39</v>
      </c>
      <c r="P948">
        <v>44793.16</v>
      </c>
      <c r="Q948">
        <v>1452600.87</v>
      </c>
      <c r="R948" t="s">
        <v>28</v>
      </c>
      <c r="S948" s="1">
        <v>45906</v>
      </c>
    </row>
    <row r="949" spans="1:19" x14ac:dyDescent="0.25">
      <c r="A949" s="5" t="s">
        <v>1935</v>
      </c>
      <c r="B949" s="5" t="s">
        <v>1936</v>
      </c>
      <c r="C949" s="5" t="s">
        <v>31</v>
      </c>
      <c r="D949" s="5">
        <v>58</v>
      </c>
      <c r="E949" s="5" t="s">
        <v>22</v>
      </c>
      <c r="F949" s="5" t="s">
        <v>23</v>
      </c>
      <c r="G949" s="5" t="s">
        <v>24</v>
      </c>
      <c r="H949" s="5">
        <v>1365271</v>
      </c>
      <c r="I949">
        <v>682</v>
      </c>
      <c r="J949">
        <v>230064</v>
      </c>
      <c r="K949">
        <v>180</v>
      </c>
      <c r="L949">
        <v>10.73</v>
      </c>
      <c r="M949" t="s">
        <v>57</v>
      </c>
      <c r="N949" t="s">
        <v>104</v>
      </c>
      <c r="O949" t="s">
        <v>27</v>
      </c>
      <c r="P949">
        <v>1415.28</v>
      </c>
      <c r="Q949">
        <v>108978.91</v>
      </c>
      <c r="R949" t="s">
        <v>28</v>
      </c>
      <c r="S949" s="1">
        <v>45699</v>
      </c>
    </row>
    <row r="950" spans="1:19" x14ac:dyDescent="0.25">
      <c r="A950" s="5" t="s">
        <v>1937</v>
      </c>
      <c r="B950" s="5" t="s">
        <v>1938</v>
      </c>
      <c r="C950" s="5" t="s">
        <v>21</v>
      </c>
      <c r="D950" s="5">
        <v>41</v>
      </c>
      <c r="E950" s="5" t="s">
        <v>32</v>
      </c>
      <c r="F950" s="5" t="s">
        <v>23</v>
      </c>
      <c r="G950" s="5" t="s">
        <v>24</v>
      </c>
      <c r="H950" s="5">
        <v>1938719</v>
      </c>
      <c r="I950">
        <v>776</v>
      </c>
      <c r="J950">
        <v>615913</v>
      </c>
      <c r="K950">
        <v>12</v>
      </c>
      <c r="L950">
        <v>7.78</v>
      </c>
      <c r="M950" t="s">
        <v>57</v>
      </c>
      <c r="N950" t="s">
        <v>44</v>
      </c>
      <c r="O950" t="s">
        <v>27</v>
      </c>
      <c r="P950">
        <v>55319.25</v>
      </c>
      <c r="Q950">
        <v>334957.31</v>
      </c>
      <c r="R950" t="s">
        <v>28</v>
      </c>
      <c r="S950" s="1">
        <v>45920</v>
      </c>
    </row>
    <row r="951" spans="1:19" x14ac:dyDescent="0.25">
      <c r="A951" s="5" t="s">
        <v>1939</v>
      </c>
      <c r="B951" s="5" t="s">
        <v>1940</v>
      </c>
      <c r="C951" s="5" t="s">
        <v>31</v>
      </c>
      <c r="D951" s="5">
        <v>42</v>
      </c>
      <c r="E951" s="5" t="s">
        <v>32</v>
      </c>
      <c r="F951" s="5" t="s">
        <v>23</v>
      </c>
      <c r="G951" s="5" t="s">
        <v>33</v>
      </c>
      <c r="H951" s="5">
        <v>988577</v>
      </c>
      <c r="I951">
        <v>730</v>
      </c>
      <c r="J951">
        <v>251190</v>
      </c>
      <c r="K951">
        <v>240</v>
      </c>
      <c r="L951">
        <v>14.65</v>
      </c>
      <c r="M951" t="s">
        <v>5</v>
      </c>
      <c r="N951" t="s">
        <v>51</v>
      </c>
      <c r="O951" t="s">
        <v>27</v>
      </c>
      <c r="P951">
        <v>1199.96</v>
      </c>
      <c r="Q951">
        <v>222060.63</v>
      </c>
      <c r="R951" t="s">
        <v>28</v>
      </c>
      <c r="S951" s="1">
        <v>45965</v>
      </c>
    </row>
    <row r="952" spans="1:19" x14ac:dyDescent="0.25">
      <c r="A952" s="5" t="s">
        <v>1941</v>
      </c>
      <c r="B952" s="5" t="s">
        <v>1942</v>
      </c>
      <c r="C952" s="5" t="s">
        <v>31</v>
      </c>
      <c r="D952" s="5">
        <v>40</v>
      </c>
      <c r="E952" s="5" t="s">
        <v>32</v>
      </c>
      <c r="F952" s="5" t="s">
        <v>23</v>
      </c>
      <c r="G952" s="5" t="s">
        <v>24</v>
      </c>
      <c r="H952" s="5">
        <v>500705</v>
      </c>
      <c r="I952">
        <v>849</v>
      </c>
      <c r="J952">
        <v>124297</v>
      </c>
      <c r="K952">
        <v>60</v>
      </c>
      <c r="L952">
        <v>15.37</v>
      </c>
      <c r="M952" t="s">
        <v>43</v>
      </c>
      <c r="N952" t="s">
        <v>104</v>
      </c>
      <c r="O952" t="s">
        <v>27</v>
      </c>
      <c r="P952">
        <v>2390.02</v>
      </c>
      <c r="Q952">
        <v>36516.230000000003</v>
      </c>
      <c r="R952" t="s">
        <v>28</v>
      </c>
      <c r="S952" s="1">
        <v>45870</v>
      </c>
    </row>
    <row r="953" spans="1:19" x14ac:dyDescent="0.25">
      <c r="A953" s="5" t="s">
        <v>1943</v>
      </c>
      <c r="B953" s="5" t="s">
        <v>1944</v>
      </c>
      <c r="C953" s="5" t="s">
        <v>21</v>
      </c>
      <c r="D953" s="5">
        <v>49</v>
      </c>
      <c r="E953" s="5" t="s">
        <v>22</v>
      </c>
      <c r="F953" s="5" t="s">
        <v>23</v>
      </c>
      <c r="G953" s="5" t="s">
        <v>24</v>
      </c>
      <c r="H953" s="5">
        <v>1138003</v>
      </c>
      <c r="I953">
        <v>835</v>
      </c>
      <c r="J953">
        <v>351778</v>
      </c>
      <c r="K953">
        <v>36</v>
      </c>
      <c r="L953">
        <v>8.77</v>
      </c>
      <c r="M953" t="s">
        <v>5</v>
      </c>
      <c r="N953" t="s">
        <v>26</v>
      </c>
      <c r="O953" t="s">
        <v>27</v>
      </c>
      <c r="P953">
        <v>10628.58</v>
      </c>
      <c r="Q953">
        <v>137157.23000000001</v>
      </c>
      <c r="R953" t="s">
        <v>28</v>
      </c>
      <c r="S953" s="1">
        <v>45667</v>
      </c>
    </row>
    <row r="954" spans="1:19" x14ac:dyDescent="0.25">
      <c r="A954" s="5" t="s">
        <v>1945</v>
      </c>
      <c r="B954" s="5" t="s">
        <v>1946</v>
      </c>
      <c r="C954" s="5" t="s">
        <v>21</v>
      </c>
      <c r="D954" s="5">
        <v>34</v>
      </c>
      <c r="E954" s="5" t="s">
        <v>22</v>
      </c>
      <c r="F954" s="5" t="s">
        <v>42</v>
      </c>
      <c r="G954" s="5" t="s">
        <v>24</v>
      </c>
      <c r="H954" s="5">
        <v>1749355</v>
      </c>
      <c r="I954">
        <v>809</v>
      </c>
      <c r="J954">
        <v>1554660</v>
      </c>
      <c r="K954">
        <v>36</v>
      </c>
      <c r="L954">
        <v>14.77</v>
      </c>
      <c r="M954" t="s">
        <v>25</v>
      </c>
      <c r="N954" t="s">
        <v>44</v>
      </c>
      <c r="O954" t="s">
        <v>27</v>
      </c>
      <c r="P954">
        <v>49563.42</v>
      </c>
      <c r="Q954">
        <v>350115.49</v>
      </c>
      <c r="R954" t="s">
        <v>28</v>
      </c>
      <c r="S954" s="1">
        <v>45528</v>
      </c>
    </row>
    <row r="955" spans="1:19" x14ac:dyDescent="0.25">
      <c r="A955" s="5" t="s">
        <v>1947</v>
      </c>
      <c r="B955" s="5" t="s">
        <v>1948</v>
      </c>
      <c r="C955" s="5" t="s">
        <v>31</v>
      </c>
      <c r="D955" s="5">
        <v>51</v>
      </c>
      <c r="E955" s="5" t="s">
        <v>22</v>
      </c>
      <c r="F955" s="5" t="s">
        <v>42</v>
      </c>
      <c r="G955" s="5" t="s">
        <v>24</v>
      </c>
      <c r="H955" s="5">
        <v>284315</v>
      </c>
      <c r="I955">
        <v>596</v>
      </c>
      <c r="J955">
        <v>372662</v>
      </c>
      <c r="K955">
        <v>48</v>
      </c>
      <c r="L955">
        <v>12.99</v>
      </c>
      <c r="M955" t="s">
        <v>54</v>
      </c>
      <c r="N955" t="s">
        <v>34</v>
      </c>
      <c r="O955" t="s">
        <v>39</v>
      </c>
      <c r="P955">
        <v>8772.31</v>
      </c>
      <c r="Q955">
        <v>151383.1</v>
      </c>
      <c r="R955" t="s">
        <v>28</v>
      </c>
      <c r="S955" s="1">
        <v>45745</v>
      </c>
    </row>
    <row r="956" spans="1:19" x14ac:dyDescent="0.25">
      <c r="A956" s="5" t="s">
        <v>1949</v>
      </c>
      <c r="B956" s="5" t="s">
        <v>1950</v>
      </c>
      <c r="C956" s="5" t="s">
        <v>31</v>
      </c>
      <c r="D956" s="5">
        <v>55</v>
      </c>
      <c r="E956" s="5" t="s">
        <v>22</v>
      </c>
      <c r="F956" s="5" t="s">
        <v>42</v>
      </c>
      <c r="G956" s="5" t="s">
        <v>24</v>
      </c>
      <c r="H956" s="5">
        <v>1998324</v>
      </c>
      <c r="I956">
        <v>804</v>
      </c>
      <c r="J956">
        <v>630312</v>
      </c>
      <c r="K956">
        <v>24</v>
      </c>
      <c r="L956">
        <v>14.03</v>
      </c>
      <c r="M956" t="s">
        <v>43</v>
      </c>
      <c r="N956" t="s">
        <v>26</v>
      </c>
      <c r="O956" t="s">
        <v>27</v>
      </c>
      <c r="P956">
        <v>29947.7</v>
      </c>
      <c r="Q956">
        <v>496729.23</v>
      </c>
      <c r="R956" t="s">
        <v>28</v>
      </c>
      <c r="S956" s="1">
        <v>45869</v>
      </c>
    </row>
    <row r="957" spans="1:19" x14ac:dyDescent="0.25">
      <c r="A957" s="5" t="s">
        <v>1951</v>
      </c>
      <c r="B957" s="5" t="s">
        <v>1952</v>
      </c>
      <c r="C957" s="5" t="s">
        <v>21</v>
      </c>
      <c r="D957" s="5">
        <v>38</v>
      </c>
      <c r="E957" s="5" t="s">
        <v>22</v>
      </c>
      <c r="F957" s="5" t="s">
        <v>23</v>
      </c>
      <c r="G957" s="5" t="s">
        <v>33</v>
      </c>
      <c r="H957" s="5">
        <v>1622118</v>
      </c>
      <c r="I957">
        <v>736</v>
      </c>
      <c r="J957">
        <v>459807</v>
      </c>
      <c r="K957">
        <v>36</v>
      </c>
      <c r="L957">
        <v>15.12</v>
      </c>
      <c r="M957" t="s">
        <v>5</v>
      </c>
      <c r="N957" t="s">
        <v>38</v>
      </c>
      <c r="O957" t="s">
        <v>27</v>
      </c>
      <c r="P957">
        <v>14703.61</v>
      </c>
      <c r="Q957">
        <v>134996.92000000001</v>
      </c>
      <c r="R957" t="s">
        <v>28</v>
      </c>
      <c r="S957" s="1">
        <v>45855</v>
      </c>
    </row>
    <row r="958" spans="1:19" x14ac:dyDescent="0.25">
      <c r="A958" s="5" t="s">
        <v>1953</v>
      </c>
      <c r="B958" s="5" t="s">
        <v>1954</v>
      </c>
      <c r="C958" s="5" t="s">
        <v>21</v>
      </c>
      <c r="D958" s="5">
        <v>48</v>
      </c>
      <c r="E958" s="5" t="s">
        <v>22</v>
      </c>
      <c r="F958" s="5" t="s">
        <v>42</v>
      </c>
      <c r="G958" s="5" t="s">
        <v>24</v>
      </c>
      <c r="H958" s="5">
        <v>1369358</v>
      </c>
      <c r="I958">
        <v>680</v>
      </c>
      <c r="J958">
        <v>1657981</v>
      </c>
      <c r="K958">
        <v>84</v>
      </c>
      <c r="L958">
        <v>10.93</v>
      </c>
      <c r="M958" t="s">
        <v>5</v>
      </c>
      <c r="N958" t="s">
        <v>44</v>
      </c>
      <c r="O958" t="s">
        <v>27</v>
      </c>
      <c r="P958">
        <v>21895.22</v>
      </c>
      <c r="Q958">
        <v>1419721.55</v>
      </c>
      <c r="R958" t="s">
        <v>28</v>
      </c>
      <c r="S958" s="1">
        <v>45893</v>
      </c>
    </row>
    <row r="959" spans="1:19" x14ac:dyDescent="0.25">
      <c r="A959" s="5" t="s">
        <v>1955</v>
      </c>
      <c r="B959" s="5" t="s">
        <v>1956</v>
      </c>
      <c r="C959" s="5" t="s">
        <v>21</v>
      </c>
      <c r="D959" s="5">
        <v>40</v>
      </c>
      <c r="E959" s="5" t="s">
        <v>32</v>
      </c>
      <c r="F959" s="5" t="s">
        <v>42</v>
      </c>
      <c r="G959" s="5" t="s">
        <v>24</v>
      </c>
      <c r="H959" s="5">
        <v>887530</v>
      </c>
      <c r="I959">
        <v>765</v>
      </c>
      <c r="J959">
        <v>1522821</v>
      </c>
      <c r="K959">
        <v>48</v>
      </c>
      <c r="L959">
        <v>15.18</v>
      </c>
      <c r="M959" t="s">
        <v>57</v>
      </c>
      <c r="N959" t="s">
        <v>44</v>
      </c>
      <c r="O959" t="s">
        <v>27</v>
      </c>
      <c r="P959">
        <v>36541.360000000001</v>
      </c>
      <c r="Q959">
        <v>1361725.51</v>
      </c>
      <c r="R959" t="s">
        <v>28</v>
      </c>
      <c r="S959" s="1">
        <v>45660</v>
      </c>
    </row>
    <row r="960" spans="1:19" x14ac:dyDescent="0.25">
      <c r="A960" s="5" t="s">
        <v>1957</v>
      </c>
      <c r="B960" s="5" t="s">
        <v>1958</v>
      </c>
      <c r="C960" s="5" t="s">
        <v>21</v>
      </c>
      <c r="D960" s="5">
        <v>28</v>
      </c>
      <c r="E960" s="5" t="s">
        <v>22</v>
      </c>
      <c r="F960" s="5" t="s">
        <v>42</v>
      </c>
      <c r="G960" s="5" t="s">
        <v>24</v>
      </c>
      <c r="H960" s="5">
        <v>383360</v>
      </c>
      <c r="I960">
        <v>624</v>
      </c>
      <c r="J960">
        <v>1230029</v>
      </c>
      <c r="K960">
        <v>120</v>
      </c>
      <c r="L960">
        <v>8.85</v>
      </c>
      <c r="M960" t="s">
        <v>57</v>
      </c>
      <c r="N960" t="s">
        <v>44</v>
      </c>
      <c r="O960" t="s">
        <v>27</v>
      </c>
      <c r="P960">
        <v>11157.39</v>
      </c>
      <c r="Q960">
        <v>1034769.3</v>
      </c>
      <c r="R960" t="s">
        <v>28</v>
      </c>
      <c r="S960" s="1">
        <v>45457</v>
      </c>
    </row>
    <row r="961" spans="1:19" x14ac:dyDescent="0.25">
      <c r="A961" s="5" t="s">
        <v>1959</v>
      </c>
      <c r="B961" s="5" t="s">
        <v>1960</v>
      </c>
      <c r="C961" s="5" t="s">
        <v>21</v>
      </c>
      <c r="D961" s="5">
        <v>49</v>
      </c>
      <c r="E961" s="5" t="s">
        <v>22</v>
      </c>
      <c r="F961" s="5" t="s">
        <v>42</v>
      </c>
      <c r="G961" s="5" t="s">
        <v>24</v>
      </c>
      <c r="H961" s="5">
        <v>1146683</v>
      </c>
      <c r="I961">
        <v>779</v>
      </c>
      <c r="J961">
        <v>1559831</v>
      </c>
      <c r="K961">
        <v>48</v>
      </c>
      <c r="L961">
        <v>12.01</v>
      </c>
      <c r="M961" t="s">
        <v>43</v>
      </c>
      <c r="N961" t="s">
        <v>26</v>
      </c>
      <c r="O961" t="s">
        <v>27</v>
      </c>
      <c r="P961">
        <v>36399.31</v>
      </c>
      <c r="Q961">
        <v>843753.2</v>
      </c>
      <c r="R961" t="s">
        <v>28</v>
      </c>
      <c r="S961" s="1">
        <v>45392</v>
      </c>
    </row>
    <row r="962" spans="1:19" x14ac:dyDescent="0.25">
      <c r="A962" s="5" t="s">
        <v>1961</v>
      </c>
      <c r="B962" s="5" t="s">
        <v>1962</v>
      </c>
      <c r="C962" s="5" t="s">
        <v>21</v>
      </c>
      <c r="D962" s="5">
        <v>28</v>
      </c>
      <c r="E962" s="5" t="s">
        <v>22</v>
      </c>
      <c r="F962" s="5" t="s">
        <v>42</v>
      </c>
      <c r="G962" s="5" t="s">
        <v>24</v>
      </c>
      <c r="H962" s="5">
        <v>721134</v>
      </c>
      <c r="I962">
        <v>760</v>
      </c>
      <c r="J962">
        <v>1731846</v>
      </c>
      <c r="K962">
        <v>240</v>
      </c>
      <c r="L962">
        <v>12.05</v>
      </c>
      <c r="M962" t="s">
        <v>25</v>
      </c>
      <c r="N962" t="s">
        <v>51</v>
      </c>
      <c r="O962" t="s">
        <v>27</v>
      </c>
      <c r="P962">
        <v>8085.56</v>
      </c>
      <c r="Q962">
        <v>1521911.86</v>
      </c>
      <c r="R962" t="s">
        <v>28</v>
      </c>
      <c r="S962" s="1">
        <v>45794</v>
      </c>
    </row>
    <row r="963" spans="1:19" x14ac:dyDescent="0.25">
      <c r="A963" s="5" t="s">
        <v>1963</v>
      </c>
      <c r="B963" s="5" t="s">
        <v>1964</v>
      </c>
      <c r="C963" s="5" t="s">
        <v>21</v>
      </c>
      <c r="D963" s="5">
        <v>42</v>
      </c>
      <c r="E963" s="5" t="s">
        <v>22</v>
      </c>
      <c r="F963" s="5" t="s">
        <v>23</v>
      </c>
      <c r="G963" s="5" t="s">
        <v>33</v>
      </c>
      <c r="H963" s="5">
        <v>745364</v>
      </c>
      <c r="I963">
        <v>846</v>
      </c>
      <c r="J963">
        <v>499588</v>
      </c>
      <c r="K963">
        <v>240</v>
      </c>
      <c r="L963">
        <v>9.8000000000000007</v>
      </c>
      <c r="M963" t="s">
        <v>25</v>
      </c>
      <c r="N963" t="s">
        <v>38</v>
      </c>
      <c r="O963" t="s">
        <v>27</v>
      </c>
      <c r="P963">
        <v>2285.62</v>
      </c>
      <c r="Q963">
        <v>393771</v>
      </c>
      <c r="R963" t="s">
        <v>28</v>
      </c>
      <c r="S963" s="1">
        <v>45322</v>
      </c>
    </row>
    <row r="964" spans="1:19" x14ac:dyDescent="0.25">
      <c r="A964" s="5" t="s">
        <v>1965</v>
      </c>
      <c r="B964" s="5" t="s">
        <v>1966</v>
      </c>
      <c r="C964" s="5" t="s">
        <v>21</v>
      </c>
      <c r="D964" s="5">
        <v>51</v>
      </c>
      <c r="E964" s="5" t="s">
        <v>22</v>
      </c>
      <c r="F964" s="5" t="s">
        <v>23</v>
      </c>
      <c r="G964" s="5" t="s">
        <v>24</v>
      </c>
      <c r="H964" s="5">
        <v>1664149</v>
      </c>
      <c r="I964">
        <v>580</v>
      </c>
      <c r="J964">
        <v>1079918</v>
      </c>
      <c r="K964">
        <v>84</v>
      </c>
      <c r="L964">
        <v>12.21</v>
      </c>
      <c r="M964" t="s">
        <v>5</v>
      </c>
      <c r="N964" t="s">
        <v>44</v>
      </c>
      <c r="O964" t="s">
        <v>27</v>
      </c>
      <c r="P964">
        <v>14425.9</v>
      </c>
      <c r="Q964">
        <v>704427.11</v>
      </c>
      <c r="R964" t="s">
        <v>28</v>
      </c>
      <c r="S964" s="1">
        <v>45506</v>
      </c>
    </row>
    <row r="965" spans="1:19" x14ac:dyDescent="0.25">
      <c r="A965" s="5" t="s">
        <v>1967</v>
      </c>
      <c r="B965" s="5" t="s">
        <v>1968</v>
      </c>
      <c r="C965" s="5" t="s">
        <v>21</v>
      </c>
      <c r="D965" s="5">
        <v>44</v>
      </c>
      <c r="E965" s="5" t="s">
        <v>32</v>
      </c>
      <c r="F965" s="5" t="s">
        <v>23</v>
      </c>
      <c r="G965" s="5" t="s">
        <v>24</v>
      </c>
      <c r="H965" s="5">
        <v>679201</v>
      </c>
      <c r="I965">
        <v>788</v>
      </c>
      <c r="J965">
        <v>1246756</v>
      </c>
      <c r="K965">
        <v>48</v>
      </c>
      <c r="L965">
        <v>9.6300000000000008</v>
      </c>
      <c r="M965" t="s">
        <v>54</v>
      </c>
      <c r="N965" t="s">
        <v>26</v>
      </c>
      <c r="O965" t="s">
        <v>27</v>
      </c>
      <c r="P965">
        <v>28475.39</v>
      </c>
      <c r="Q965">
        <v>384281.95</v>
      </c>
      <c r="R965" t="s">
        <v>28</v>
      </c>
      <c r="S965" s="1">
        <v>45503</v>
      </c>
    </row>
    <row r="966" spans="1:19" x14ac:dyDescent="0.25">
      <c r="A966" s="5" t="s">
        <v>1969</v>
      </c>
      <c r="B966" s="5" t="s">
        <v>1970</v>
      </c>
      <c r="C966" s="5" t="s">
        <v>31</v>
      </c>
      <c r="D966" s="5">
        <v>50</v>
      </c>
      <c r="E966" s="5" t="s">
        <v>22</v>
      </c>
      <c r="F966" s="5" t="s">
        <v>42</v>
      </c>
      <c r="G966" s="5" t="s">
        <v>33</v>
      </c>
      <c r="H966" s="5">
        <v>309198</v>
      </c>
      <c r="I966">
        <v>736</v>
      </c>
      <c r="J966">
        <v>371058</v>
      </c>
      <c r="K966">
        <v>12</v>
      </c>
      <c r="L966">
        <v>10.47</v>
      </c>
      <c r="M966" t="s">
        <v>5</v>
      </c>
      <c r="N966" t="s">
        <v>104</v>
      </c>
      <c r="O966" t="s">
        <v>27</v>
      </c>
      <c r="P966">
        <v>34158.980000000003</v>
      </c>
      <c r="Q966">
        <v>168211.37</v>
      </c>
      <c r="R966" t="s">
        <v>28</v>
      </c>
      <c r="S966" s="1">
        <v>45602</v>
      </c>
    </row>
    <row r="967" spans="1:19" x14ac:dyDescent="0.25">
      <c r="A967" s="5" t="s">
        <v>1971</v>
      </c>
      <c r="B967" s="5" t="s">
        <v>1972</v>
      </c>
      <c r="C967" s="5" t="s">
        <v>31</v>
      </c>
      <c r="D967" s="5">
        <v>25</v>
      </c>
      <c r="E967" s="5" t="s">
        <v>32</v>
      </c>
      <c r="F967" s="5" t="s">
        <v>23</v>
      </c>
      <c r="G967" s="5" t="s">
        <v>33</v>
      </c>
      <c r="H967" s="5">
        <v>747141</v>
      </c>
      <c r="I967">
        <v>766</v>
      </c>
      <c r="J967">
        <v>1095825</v>
      </c>
      <c r="K967">
        <v>36</v>
      </c>
      <c r="L967">
        <v>8.77</v>
      </c>
      <c r="M967" t="s">
        <v>54</v>
      </c>
      <c r="N967" t="s">
        <v>38</v>
      </c>
      <c r="O967" t="s">
        <v>27</v>
      </c>
      <c r="P967">
        <v>33109.129999999997</v>
      </c>
      <c r="Q967">
        <v>390904.77</v>
      </c>
      <c r="R967" t="s">
        <v>28</v>
      </c>
      <c r="S967" s="1">
        <v>45573</v>
      </c>
    </row>
    <row r="968" spans="1:19" x14ac:dyDescent="0.25">
      <c r="A968" s="5" t="s">
        <v>1973</v>
      </c>
      <c r="B968" s="5" t="s">
        <v>1974</v>
      </c>
      <c r="C968" s="5" t="s">
        <v>21</v>
      </c>
      <c r="D968" s="5">
        <v>36</v>
      </c>
      <c r="E968" s="5" t="s">
        <v>32</v>
      </c>
      <c r="F968" s="5" t="s">
        <v>23</v>
      </c>
      <c r="G968" s="5" t="s">
        <v>33</v>
      </c>
      <c r="H968" s="5">
        <v>1875256</v>
      </c>
      <c r="I968">
        <v>785</v>
      </c>
      <c r="J968">
        <v>1710977</v>
      </c>
      <c r="K968">
        <v>60</v>
      </c>
      <c r="L968">
        <v>14.29</v>
      </c>
      <c r="M968" t="s">
        <v>25</v>
      </c>
      <c r="N968" t="s">
        <v>44</v>
      </c>
      <c r="O968" t="s">
        <v>27</v>
      </c>
      <c r="P968">
        <v>32591.26</v>
      </c>
      <c r="Q968">
        <v>1670301.46</v>
      </c>
      <c r="R968" t="s">
        <v>28</v>
      </c>
      <c r="S968" s="1">
        <v>45431</v>
      </c>
    </row>
    <row r="969" spans="1:19" x14ac:dyDescent="0.25">
      <c r="A969" s="5" t="s">
        <v>1975</v>
      </c>
      <c r="B969" s="5" t="s">
        <v>1976</v>
      </c>
      <c r="C969" s="5" t="s">
        <v>21</v>
      </c>
      <c r="D969" s="5">
        <v>24</v>
      </c>
      <c r="E969" s="5" t="s">
        <v>32</v>
      </c>
      <c r="F969" s="5" t="s">
        <v>42</v>
      </c>
      <c r="G969" s="5" t="s">
        <v>33</v>
      </c>
      <c r="H969" s="5">
        <v>387510</v>
      </c>
      <c r="I969">
        <v>807</v>
      </c>
      <c r="J969">
        <v>1126731</v>
      </c>
      <c r="K969">
        <v>24</v>
      </c>
      <c r="L969">
        <v>7.63</v>
      </c>
      <c r="M969" t="s">
        <v>25</v>
      </c>
      <c r="N969" t="s">
        <v>26</v>
      </c>
      <c r="O969" t="s">
        <v>27</v>
      </c>
      <c r="P969">
        <v>50529.19</v>
      </c>
      <c r="Q969">
        <v>756718.55</v>
      </c>
      <c r="R969" t="s">
        <v>28</v>
      </c>
      <c r="S969" s="1">
        <v>45896</v>
      </c>
    </row>
    <row r="970" spans="1:19" x14ac:dyDescent="0.25">
      <c r="A970" s="5" t="s">
        <v>1977</v>
      </c>
      <c r="B970" s="5" t="s">
        <v>1978</v>
      </c>
      <c r="C970" s="5" t="s">
        <v>21</v>
      </c>
      <c r="D970" s="5">
        <v>41</v>
      </c>
      <c r="E970" s="5" t="s">
        <v>22</v>
      </c>
      <c r="F970" s="5" t="s">
        <v>42</v>
      </c>
      <c r="G970" s="5" t="s">
        <v>24</v>
      </c>
      <c r="H970" s="5">
        <v>1848210</v>
      </c>
      <c r="I970">
        <v>593</v>
      </c>
      <c r="J970">
        <v>1989933</v>
      </c>
      <c r="K970">
        <v>84</v>
      </c>
      <c r="L970">
        <v>10.9</v>
      </c>
      <c r="M970" t="s">
        <v>25</v>
      </c>
      <c r="N970" t="s">
        <v>34</v>
      </c>
      <c r="O970" t="s">
        <v>27</v>
      </c>
      <c r="P970">
        <v>26271.85</v>
      </c>
      <c r="Q970">
        <v>432737.01</v>
      </c>
      <c r="R970" t="s">
        <v>28</v>
      </c>
      <c r="S970" s="1">
        <v>45304</v>
      </c>
    </row>
    <row r="971" spans="1:19" x14ac:dyDescent="0.25">
      <c r="A971" s="5" t="s">
        <v>1979</v>
      </c>
      <c r="B971" s="5" t="s">
        <v>1980</v>
      </c>
      <c r="C971" s="5" t="s">
        <v>21</v>
      </c>
      <c r="D971" s="5">
        <v>51</v>
      </c>
      <c r="E971" s="5" t="s">
        <v>32</v>
      </c>
      <c r="F971" s="5" t="s">
        <v>23</v>
      </c>
      <c r="G971" s="5" t="s">
        <v>33</v>
      </c>
      <c r="H971" s="5">
        <v>1901421</v>
      </c>
      <c r="I971">
        <v>823</v>
      </c>
      <c r="J971">
        <v>663916</v>
      </c>
      <c r="K971">
        <v>240</v>
      </c>
      <c r="L971">
        <v>13.33</v>
      </c>
      <c r="M971" t="s">
        <v>43</v>
      </c>
      <c r="N971" t="s">
        <v>44</v>
      </c>
      <c r="O971" t="s">
        <v>27</v>
      </c>
      <c r="P971">
        <v>3135.07</v>
      </c>
      <c r="Q971">
        <v>149772.98000000001</v>
      </c>
      <c r="R971" t="s">
        <v>28</v>
      </c>
      <c r="S971" s="1">
        <v>45884</v>
      </c>
    </row>
    <row r="972" spans="1:19" x14ac:dyDescent="0.25">
      <c r="A972" s="5" t="s">
        <v>1981</v>
      </c>
      <c r="B972" s="5" t="s">
        <v>1982</v>
      </c>
      <c r="C972" s="5" t="s">
        <v>21</v>
      </c>
      <c r="D972" s="5">
        <v>31</v>
      </c>
      <c r="E972" s="5" t="s">
        <v>22</v>
      </c>
      <c r="F972" s="5" t="s">
        <v>23</v>
      </c>
      <c r="G972" s="5" t="s">
        <v>24</v>
      </c>
      <c r="H972" s="5">
        <v>1973081</v>
      </c>
      <c r="I972">
        <v>686</v>
      </c>
      <c r="J972">
        <v>1878371</v>
      </c>
      <c r="K972">
        <v>36</v>
      </c>
      <c r="L972">
        <v>15.16</v>
      </c>
      <c r="M972" t="s">
        <v>54</v>
      </c>
      <c r="N972" t="s">
        <v>26</v>
      </c>
      <c r="O972" t="s">
        <v>27</v>
      </c>
      <c r="P972">
        <v>60087</v>
      </c>
      <c r="Q972">
        <v>797538.94</v>
      </c>
      <c r="R972" t="s">
        <v>28</v>
      </c>
      <c r="S972" s="1">
        <v>45703</v>
      </c>
    </row>
    <row r="973" spans="1:19" x14ac:dyDescent="0.25">
      <c r="A973" s="5" t="s">
        <v>1983</v>
      </c>
      <c r="B973" s="5" t="s">
        <v>1984</v>
      </c>
      <c r="C973" s="5" t="s">
        <v>21</v>
      </c>
      <c r="D973" s="5">
        <v>52</v>
      </c>
      <c r="E973" s="5" t="s">
        <v>22</v>
      </c>
      <c r="F973" s="5" t="s">
        <v>42</v>
      </c>
      <c r="G973" s="5" t="s">
        <v>33</v>
      </c>
      <c r="H973" s="5">
        <v>585675</v>
      </c>
      <c r="I973">
        <v>647</v>
      </c>
      <c r="J973">
        <v>188905</v>
      </c>
      <c r="K973">
        <v>120</v>
      </c>
      <c r="L973">
        <v>12.39</v>
      </c>
      <c r="M973" t="s">
        <v>25</v>
      </c>
      <c r="N973" t="s">
        <v>104</v>
      </c>
      <c r="O973" t="s">
        <v>39</v>
      </c>
      <c r="P973">
        <v>1769.25</v>
      </c>
      <c r="Q973">
        <v>96655.18</v>
      </c>
      <c r="R973" t="s">
        <v>28</v>
      </c>
      <c r="S973" s="1">
        <v>45462</v>
      </c>
    </row>
    <row r="974" spans="1:19" x14ac:dyDescent="0.25">
      <c r="A974" s="5" t="s">
        <v>1985</v>
      </c>
      <c r="B974" s="5" t="s">
        <v>1986</v>
      </c>
      <c r="C974" s="5" t="s">
        <v>21</v>
      </c>
      <c r="D974" s="5">
        <v>51</v>
      </c>
      <c r="E974" s="5" t="s">
        <v>32</v>
      </c>
      <c r="F974" s="5" t="s">
        <v>42</v>
      </c>
      <c r="G974" s="5" t="s">
        <v>24</v>
      </c>
      <c r="H974" s="5">
        <v>305912</v>
      </c>
      <c r="I974">
        <v>655</v>
      </c>
      <c r="J974">
        <v>337867</v>
      </c>
      <c r="K974">
        <v>180</v>
      </c>
      <c r="L974">
        <v>8.91</v>
      </c>
      <c r="M974" t="s">
        <v>5</v>
      </c>
      <c r="N974" t="s">
        <v>44</v>
      </c>
      <c r="O974" t="s">
        <v>39</v>
      </c>
      <c r="P974">
        <v>2044.28</v>
      </c>
      <c r="Q974">
        <v>130599.32</v>
      </c>
      <c r="R974" t="s">
        <v>28</v>
      </c>
      <c r="S974" s="1">
        <v>45311</v>
      </c>
    </row>
    <row r="975" spans="1:19" x14ac:dyDescent="0.25">
      <c r="A975" s="5" t="s">
        <v>1987</v>
      </c>
      <c r="B975" s="5" t="s">
        <v>1988</v>
      </c>
      <c r="C975" s="5" t="s">
        <v>31</v>
      </c>
      <c r="D975" s="5">
        <v>34</v>
      </c>
      <c r="E975" s="5" t="s">
        <v>32</v>
      </c>
      <c r="F975" s="5" t="s">
        <v>42</v>
      </c>
      <c r="G975" s="5" t="s">
        <v>33</v>
      </c>
      <c r="H975" s="5">
        <v>1186221</v>
      </c>
      <c r="I975">
        <v>722</v>
      </c>
      <c r="J975">
        <v>1238445</v>
      </c>
      <c r="K975">
        <v>60</v>
      </c>
      <c r="L975">
        <v>10.25</v>
      </c>
      <c r="M975" t="s">
        <v>57</v>
      </c>
      <c r="N975" t="s">
        <v>44</v>
      </c>
      <c r="O975" t="s">
        <v>27</v>
      </c>
      <c r="P975">
        <v>22756.43</v>
      </c>
      <c r="Q975">
        <v>278090.56</v>
      </c>
      <c r="R975" t="s">
        <v>28</v>
      </c>
      <c r="S975" s="1">
        <v>45356</v>
      </c>
    </row>
    <row r="976" spans="1:19" x14ac:dyDescent="0.25">
      <c r="A976" s="5" t="s">
        <v>1989</v>
      </c>
      <c r="B976" s="5" t="s">
        <v>1990</v>
      </c>
      <c r="C976" s="5" t="s">
        <v>21</v>
      </c>
      <c r="D976" s="5">
        <v>29</v>
      </c>
      <c r="E976" s="5" t="s">
        <v>32</v>
      </c>
      <c r="F976" s="5" t="s">
        <v>23</v>
      </c>
      <c r="G976" s="5" t="s">
        <v>24</v>
      </c>
      <c r="H976" s="5">
        <v>976083</v>
      </c>
      <c r="I976">
        <v>831</v>
      </c>
      <c r="J976">
        <v>343889</v>
      </c>
      <c r="K976">
        <v>12</v>
      </c>
      <c r="L976">
        <v>11</v>
      </c>
      <c r="M976" t="s">
        <v>57</v>
      </c>
      <c r="N976" t="s">
        <v>34</v>
      </c>
      <c r="O976" t="s">
        <v>27</v>
      </c>
      <c r="P976">
        <v>31809.73</v>
      </c>
      <c r="Q976">
        <v>341231.9</v>
      </c>
      <c r="R976" t="s">
        <v>28</v>
      </c>
      <c r="S976" s="1">
        <v>45556</v>
      </c>
    </row>
    <row r="977" spans="1:19" x14ac:dyDescent="0.25">
      <c r="A977" s="5" t="s">
        <v>1991</v>
      </c>
      <c r="B977" s="5" t="s">
        <v>1992</v>
      </c>
      <c r="C977" s="5" t="s">
        <v>21</v>
      </c>
      <c r="D977" s="5">
        <v>46</v>
      </c>
      <c r="E977" s="5" t="s">
        <v>32</v>
      </c>
      <c r="F977" s="5" t="s">
        <v>23</v>
      </c>
      <c r="G977" s="5" t="s">
        <v>24</v>
      </c>
      <c r="H977" s="5">
        <v>918135</v>
      </c>
      <c r="I977">
        <v>794</v>
      </c>
      <c r="J977">
        <v>1678636</v>
      </c>
      <c r="K977">
        <v>48</v>
      </c>
      <c r="L977">
        <v>12.38</v>
      </c>
      <c r="M977" t="s">
        <v>57</v>
      </c>
      <c r="N977" t="s">
        <v>38</v>
      </c>
      <c r="O977" t="s">
        <v>27</v>
      </c>
      <c r="P977">
        <v>39301.07</v>
      </c>
      <c r="Q977">
        <v>1108901.6100000001</v>
      </c>
      <c r="R977" t="s">
        <v>28</v>
      </c>
      <c r="S977" s="1">
        <v>45846</v>
      </c>
    </row>
    <row r="978" spans="1:19" x14ac:dyDescent="0.25">
      <c r="A978" s="5" t="s">
        <v>1993</v>
      </c>
      <c r="B978" s="5" t="s">
        <v>1994</v>
      </c>
      <c r="C978" s="5" t="s">
        <v>21</v>
      </c>
      <c r="D978" s="5">
        <v>32</v>
      </c>
      <c r="E978" s="5" t="s">
        <v>32</v>
      </c>
      <c r="F978" s="5" t="s">
        <v>42</v>
      </c>
      <c r="G978" s="5" t="s">
        <v>33</v>
      </c>
      <c r="H978" s="5">
        <v>1740359</v>
      </c>
      <c r="I978">
        <v>774</v>
      </c>
      <c r="J978">
        <v>1246588</v>
      </c>
      <c r="K978">
        <v>60</v>
      </c>
      <c r="L978">
        <v>8.17</v>
      </c>
      <c r="M978" t="s">
        <v>25</v>
      </c>
      <c r="N978" t="s">
        <v>38</v>
      </c>
      <c r="O978" t="s">
        <v>27</v>
      </c>
      <c r="P978">
        <v>22473.9</v>
      </c>
      <c r="Q978">
        <v>192400.3</v>
      </c>
      <c r="R978" t="s">
        <v>28</v>
      </c>
      <c r="S978" s="1">
        <v>45834</v>
      </c>
    </row>
    <row r="979" spans="1:19" x14ac:dyDescent="0.25">
      <c r="A979" s="5" t="s">
        <v>1995</v>
      </c>
      <c r="B979" s="5" t="s">
        <v>1996</v>
      </c>
      <c r="C979" s="5" t="s">
        <v>31</v>
      </c>
      <c r="D979" s="5">
        <v>44</v>
      </c>
      <c r="E979" s="5" t="s">
        <v>22</v>
      </c>
      <c r="F979" s="5" t="s">
        <v>42</v>
      </c>
      <c r="G979" s="5" t="s">
        <v>33</v>
      </c>
      <c r="H979" s="5">
        <v>564082</v>
      </c>
      <c r="I979">
        <v>686</v>
      </c>
      <c r="J979">
        <v>1438681</v>
      </c>
      <c r="K979">
        <v>84</v>
      </c>
      <c r="L979">
        <v>11.72</v>
      </c>
      <c r="M979" t="s">
        <v>5</v>
      </c>
      <c r="N979" t="s">
        <v>51</v>
      </c>
      <c r="O979" t="s">
        <v>27</v>
      </c>
      <c r="P979">
        <v>19134.46</v>
      </c>
      <c r="Q979">
        <v>439048.22</v>
      </c>
      <c r="R979" t="s">
        <v>28</v>
      </c>
      <c r="S979" s="1">
        <v>45546</v>
      </c>
    </row>
    <row r="980" spans="1:19" x14ac:dyDescent="0.25">
      <c r="A980" s="5" t="s">
        <v>1997</v>
      </c>
      <c r="B980" s="5" t="s">
        <v>1998</v>
      </c>
      <c r="C980" s="5" t="s">
        <v>21</v>
      </c>
      <c r="D980" s="5">
        <v>41</v>
      </c>
      <c r="E980" s="5" t="s">
        <v>32</v>
      </c>
      <c r="F980" s="5" t="s">
        <v>23</v>
      </c>
      <c r="G980" s="5" t="s">
        <v>24</v>
      </c>
      <c r="H980" s="5">
        <v>1274053</v>
      </c>
      <c r="I980">
        <v>647</v>
      </c>
      <c r="J980">
        <v>1592828</v>
      </c>
      <c r="K980">
        <v>12</v>
      </c>
      <c r="L980">
        <v>10.52</v>
      </c>
      <c r="M980" t="s">
        <v>43</v>
      </c>
      <c r="N980" t="s">
        <v>26</v>
      </c>
      <c r="O980" t="s">
        <v>39</v>
      </c>
      <c r="P980">
        <v>146699.46</v>
      </c>
      <c r="Q980">
        <v>420554.8</v>
      </c>
      <c r="R980" t="s">
        <v>28</v>
      </c>
      <c r="S980" s="1">
        <v>45505</v>
      </c>
    </row>
    <row r="981" spans="1:19" x14ac:dyDescent="0.25">
      <c r="A981" s="5" t="s">
        <v>1999</v>
      </c>
      <c r="B981" s="5" t="s">
        <v>2000</v>
      </c>
      <c r="C981" s="5" t="s">
        <v>31</v>
      </c>
      <c r="D981" s="5">
        <v>54</v>
      </c>
      <c r="E981" s="5" t="s">
        <v>32</v>
      </c>
      <c r="F981" s="5" t="s">
        <v>23</v>
      </c>
      <c r="G981" s="5" t="s">
        <v>33</v>
      </c>
      <c r="H981" s="5">
        <v>1488196</v>
      </c>
      <c r="I981">
        <v>584</v>
      </c>
      <c r="J981">
        <v>1713551</v>
      </c>
      <c r="K981">
        <v>84</v>
      </c>
      <c r="L981">
        <v>13.46</v>
      </c>
      <c r="M981" t="s">
        <v>43</v>
      </c>
      <c r="N981" t="s">
        <v>104</v>
      </c>
      <c r="O981" t="s">
        <v>39</v>
      </c>
      <c r="P981">
        <v>23145.18</v>
      </c>
      <c r="Q981">
        <v>442327.1</v>
      </c>
      <c r="R981" t="s">
        <v>28</v>
      </c>
      <c r="S981" s="1">
        <v>45668</v>
      </c>
    </row>
    <row r="982" spans="1:19" x14ac:dyDescent="0.25">
      <c r="A982" s="5" t="s">
        <v>2001</v>
      </c>
      <c r="B982" s="5" t="s">
        <v>2002</v>
      </c>
      <c r="C982" s="5" t="s">
        <v>21</v>
      </c>
      <c r="D982" s="5">
        <v>25</v>
      </c>
      <c r="E982" s="5" t="s">
        <v>32</v>
      </c>
      <c r="F982" s="5" t="s">
        <v>23</v>
      </c>
      <c r="G982" s="5" t="s">
        <v>33</v>
      </c>
      <c r="H982" s="5">
        <v>1471726</v>
      </c>
      <c r="I982">
        <v>696</v>
      </c>
      <c r="J982">
        <v>1218620</v>
      </c>
      <c r="K982">
        <v>12</v>
      </c>
      <c r="L982">
        <v>14.58</v>
      </c>
      <c r="M982" t="s">
        <v>54</v>
      </c>
      <c r="N982" t="s">
        <v>44</v>
      </c>
      <c r="O982" t="s">
        <v>27</v>
      </c>
      <c r="P982">
        <v>116357.9</v>
      </c>
      <c r="Q982">
        <v>576773.44999999995</v>
      </c>
      <c r="R982" t="s">
        <v>28</v>
      </c>
      <c r="S982" s="1">
        <v>45440</v>
      </c>
    </row>
    <row r="983" spans="1:19" x14ac:dyDescent="0.25">
      <c r="A983" s="5" t="s">
        <v>2003</v>
      </c>
      <c r="B983" s="5" t="s">
        <v>2004</v>
      </c>
      <c r="C983" s="5" t="s">
        <v>21</v>
      </c>
      <c r="D983" s="5">
        <v>38</v>
      </c>
      <c r="E983" s="5" t="s">
        <v>32</v>
      </c>
      <c r="F983" s="5" t="s">
        <v>23</v>
      </c>
      <c r="G983" s="5" t="s">
        <v>33</v>
      </c>
      <c r="H983" s="5">
        <v>384551</v>
      </c>
      <c r="I983">
        <v>598</v>
      </c>
      <c r="J983">
        <v>776221</v>
      </c>
      <c r="K983">
        <v>120</v>
      </c>
      <c r="L983">
        <v>13.8</v>
      </c>
      <c r="M983" t="s">
        <v>57</v>
      </c>
      <c r="N983" t="s">
        <v>44</v>
      </c>
      <c r="O983" t="s">
        <v>39</v>
      </c>
      <c r="P983">
        <v>7361.16</v>
      </c>
      <c r="Q983">
        <v>289130.64</v>
      </c>
      <c r="R983" t="s">
        <v>28</v>
      </c>
      <c r="S983" s="1">
        <v>45819</v>
      </c>
    </row>
    <row r="984" spans="1:19" x14ac:dyDescent="0.25">
      <c r="A984" s="5" t="s">
        <v>2005</v>
      </c>
      <c r="B984" s="5" t="s">
        <v>2006</v>
      </c>
      <c r="C984" s="5" t="s">
        <v>31</v>
      </c>
      <c r="D984" s="5">
        <v>47</v>
      </c>
      <c r="E984" s="5" t="s">
        <v>22</v>
      </c>
      <c r="F984" s="5" t="s">
        <v>42</v>
      </c>
      <c r="G984" s="5" t="s">
        <v>33</v>
      </c>
      <c r="H984" s="5">
        <v>1061834</v>
      </c>
      <c r="I984">
        <v>741</v>
      </c>
      <c r="J984">
        <v>1949370</v>
      </c>
      <c r="K984">
        <v>36</v>
      </c>
      <c r="L984">
        <v>13.36</v>
      </c>
      <c r="M984" t="s">
        <v>25</v>
      </c>
      <c r="N984" t="s">
        <v>51</v>
      </c>
      <c r="O984" t="s">
        <v>27</v>
      </c>
      <c r="P984">
        <v>61383.5</v>
      </c>
      <c r="Q984">
        <v>1015661.74</v>
      </c>
      <c r="R984" t="s">
        <v>28</v>
      </c>
      <c r="S984" s="1">
        <v>45597</v>
      </c>
    </row>
    <row r="985" spans="1:19" x14ac:dyDescent="0.25">
      <c r="A985" s="5" t="s">
        <v>2007</v>
      </c>
      <c r="B985" s="5" t="s">
        <v>2008</v>
      </c>
      <c r="C985" s="5" t="s">
        <v>31</v>
      </c>
      <c r="D985" s="5">
        <v>54</v>
      </c>
      <c r="E985" s="5" t="s">
        <v>22</v>
      </c>
      <c r="F985" s="5" t="s">
        <v>42</v>
      </c>
      <c r="G985" s="5" t="s">
        <v>24</v>
      </c>
      <c r="H985" s="5">
        <v>755900</v>
      </c>
      <c r="I985">
        <v>689</v>
      </c>
      <c r="J985">
        <v>1086674</v>
      </c>
      <c r="K985">
        <v>48</v>
      </c>
      <c r="L985">
        <v>9.1999999999999993</v>
      </c>
      <c r="M985" t="s">
        <v>57</v>
      </c>
      <c r="N985" t="s">
        <v>34</v>
      </c>
      <c r="O985" t="s">
        <v>27</v>
      </c>
      <c r="P985">
        <v>24721.83</v>
      </c>
      <c r="Q985">
        <v>769247.43</v>
      </c>
      <c r="R985" t="s">
        <v>28</v>
      </c>
      <c r="S985" s="1">
        <v>45725</v>
      </c>
    </row>
    <row r="986" spans="1:19" x14ac:dyDescent="0.25">
      <c r="A986" s="5" t="s">
        <v>2009</v>
      </c>
      <c r="B986" s="5" t="s">
        <v>2010</v>
      </c>
      <c r="C986" s="5" t="s">
        <v>31</v>
      </c>
      <c r="D986" s="5">
        <v>27</v>
      </c>
      <c r="E986" s="5" t="s">
        <v>22</v>
      </c>
      <c r="F986" s="5" t="s">
        <v>42</v>
      </c>
      <c r="G986" s="5" t="s">
        <v>33</v>
      </c>
      <c r="H986" s="5">
        <v>746930</v>
      </c>
      <c r="I986">
        <v>802</v>
      </c>
      <c r="J986">
        <v>989978</v>
      </c>
      <c r="K986">
        <v>180</v>
      </c>
      <c r="L986">
        <v>8.59</v>
      </c>
      <c r="M986" t="s">
        <v>54</v>
      </c>
      <c r="N986" t="s">
        <v>51</v>
      </c>
      <c r="O986" t="s">
        <v>27</v>
      </c>
      <c r="P986">
        <v>5972.32</v>
      </c>
      <c r="Q986">
        <v>286821.32</v>
      </c>
      <c r="R986" t="s">
        <v>28</v>
      </c>
      <c r="S986" s="1">
        <v>45937</v>
      </c>
    </row>
    <row r="987" spans="1:19" x14ac:dyDescent="0.25">
      <c r="A987" s="5" t="s">
        <v>2011</v>
      </c>
      <c r="B987" s="5" t="s">
        <v>2012</v>
      </c>
      <c r="C987" s="5" t="s">
        <v>31</v>
      </c>
      <c r="D987" s="5">
        <v>47</v>
      </c>
      <c r="E987" s="5" t="s">
        <v>22</v>
      </c>
      <c r="F987" s="5" t="s">
        <v>23</v>
      </c>
      <c r="G987" s="5" t="s">
        <v>33</v>
      </c>
      <c r="H987" s="5">
        <v>980802</v>
      </c>
      <c r="I987">
        <v>787</v>
      </c>
      <c r="J987">
        <v>690403</v>
      </c>
      <c r="K987">
        <v>84</v>
      </c>
      <c r="L987">
        <v>10.76</v>
      </c>
      <c r="M987" t="s">
        <v>54</v>
      </c>
      <c r="N987" t="s">
        <v>34</v>
      </c>
      <c r="O987" t="s">
        <v>27</v>
      </c>
      <c r="P987">
        <v>9103.4599999999991</v>
      </c>
      <c r="Q987">
        <v>234311</v>
      </c>
      <c r="R987" t="s">
        <v>28</v>
      </c>
      <c r="S987" s="1">
        <v>45751</v>
      </c>
    </row>
    <row r="988" spans="1:19" x14ac:dyDescent="0.25">
      <c r="A988" s="5" t="s">
        <v>2013</v>
      </c>
      <c r="B988" s="5" t="s">
        <v>2014</v>
      </c>
      <c r="C988" s="5" t="s">
        <v>21</v>
      </c>
      <c r="D988" s="5">
        <v>57</v>
      </c>
      <c r="E988" s="5" t="s">
        <v>22</v>
      </c>
      <c r="F988" s="5" t="s">
        <v>42</v>
      </c>
      <c r="G988" s="5" t="s">
        <v>33</v>
      </c>
      <c r="H988" s="5">
        <v>1065529</v>
      </c>
      <c r="I988">
        <v>635</v>
      </c>
      <c r="J988">
        <v>1607930</v>
      </c>
      <c r="K988">
        <v>36</v>
      </c>
      <c r="L988">
        <v>7.89</v>
      </c>
      <c r="M988" t="s">
        <v>5</v>
      </c>
      <c r="N988" t="s">
        <v>26</v>
      </c>
      <c r="O988" t="s">
        <v>39</v>
      </c>
      <c r="P988">
        <v>48188.77</v>
      </c>
      <c r="Q988">
        <v>1240018.57</v>
      </c>
      <c r="R988" t="s">
        <v>28</v>
      </c>
      <c r="S988" s="1">
        <v>45338</v>
      </c>
    </row>
    <row r="989" spans="1:19" x14ac:dyDescent="0.25">
      <c r="A989" s="5" t="s">
        <v>2015</v>
      </c>
      <c r="B989" s="5" t="s">
        <v>2016</v>
      </c>
      <c r="C989" s="5" t="s">
        <v>21</v>
      </c>
      <c r="D989" s="5">
        <v>34</v>
      </c>
      <c r="E989" s="5" t="s">
        <v>22</v>
      </c>
      <c r="F989" s="5" t="s">
        <v>42</v>
      </c>
      <c r="G989" s="5" t="s">
        <v>24</v>
      </c>
      <c r="H989" s="5">
        <v>1245292</v>
      </c>
      <c r="I989">
        <v>745</v>
      </c>
      <c r="J989">
        <v>1174525</v>
      </c>
      <c r="K989">
        <v>84</v>
      </c>
      <c r="L989">
        <v>10.029999999999999</v>
      </c>
      <c r="M989" t="s">
        <v>57</v>
      </c>
      <c r="N989" t="s">
        <v>26</v>
      </c>
      <c r="O989" t="s">
        <v>27</v>
      </c>
      <c r="P989">
        <v>15384.88</v>
      </c>
      <c r="Q989">
        <v>736817.24</v>
      </c>
      <c r="R989" t="s">
        <v>28</v>
      </c>
      <c r="S989" s="1">
        <v>45896</v>
      </c>
    </row>
    <row r="990" spans="1:19" x14ac:dyDescent="0.25">
      <c r="A990" s="5" t="s">
        <v>2017</v>
      </c>
      <c r="B990" s="5" t="s">
        <v>2018</v>
      </c>
      <c r="C990" s="5" t="s">
        <v>21</v>
      </c>
      <c r="D990" s="5">
        <v>23</v>
      </c>
      <c r="E990" s="5" t="s">
        <v>22</v>
      </c>
      <c r="F990" s="5" t="s">
        <v>23</v>
      </c>
      <c r="G990" s="5" t="s">
        <v>33</v>
      </c>
      <c r="H990" s="5">
        <v>1897720</v>
      </c>
      <c r="I990">
        <v>809</v>
      </c>
      <c r="J990">
        <v>1914086</v>
      </c>
      <c r="K990">
        <v>48</v>
      </c>
      <c r="L990">
        <v>13.9</v>
      </c>
      <c r="M990" t="s">
        <v>57</v>
      </c>
      <c r="N990" t="s">
        <v>44</v>
      </c>
      <c r="O990" t="s">
        <v>27</v>
      </c>
      <c r="P990">
        <v>45419.67</v>
      </c>
      <c r="Q990">
        <v>250796.19</v>
      </c>
      <c r="R990" t="s">
        <v>28</v>
      </c>
      <c r="S990" s="1">
        <v>45393</v>
      </c>
    </row>
    <row r="991" spans="1:19" x14ac:dyDescent="0.25">
      <c r="A991" s="5" t="s">
        <v>2019</v>
      </c>
      <c r="B991" s="5" t="s">
        <v>2020</v>
      </c>
      <c r="C991" s="5" t="s">
        <v>21</v>
      </c>
      <c r="D991" s="5">
        <v>25</v>
      </c>
      <c r="E991" s="5" t="s">
        <v>32</v>
      </c>
      <c r="F991" s="5" t="s">
        <v>23</v>
      </c>
      <c r="G991" s="5" t="s">
        <v>24</v>
      </c>
      <c r="H991" s="5">
        <v>1098705</v>
      </c>
      <c r="I991">
        <v>731</v>
      </c>
      <c r="J991">
        <v>1718377</v>
      </c>
      <c r="K991">
        <v>24</v>
      </c>
      <c r="L991">
        <v>15.33</v>
      </c>
      <c r="M991" t="s">
        <v>5</v>
      </c>
      <c r="N991" t="s">
        <v>51</v>
      </c>
      <c r="O991" t="s">
        <v>27</v>
      </c>
      <c r="P991">
        <v>82575.17</v>
      </c>
      <c r="Q991">
        <v>1508800.9</v>
      </c>
      <c r="R991" t="s">
        <v>28</v>
      </c>
      <c r="S991" s="1">
        <v>45682</v>
      </c>
    </row>
    <row r="992" spans="1:19" x14ac:dyDescent="0.25">
      <c r="A992" s="5" t="s">
        <v>2021</v>
      </c>
      <c r="B992" s="5" t="s">
        <v>2022</v>
      </c>
      <c r="C992" s="5" t="s">
        <v>21</v>
      </c>
      <c r="D992" s="5">
        <v>38</v>
      </c>
      <c r="E992" s="5" t="s">
        <v>32</v>
      </c>
      <c r="F992" s="5" t="s">
        <v>42</v>
      </c>
      <c r="G992" s="5" t="s">
        <v>24</v>
      </c>
      <c r="H992" s="5">
        <v>1467015</v>
      </c>
      <c r="I992">
        <v>737</v>
      </c>
      <c r="J992">
        <v>1756417</v>
      </c>
      <c r="K992">
        <v>84</v>
      </c>
      <c r="L992">
        <v>12.31</v>
      </c>
      <c r="M992" t="s">
        <v>25</v>
      </c>
      <c r="N992" t="s">
        <v>51</v>
      </c>
      <c r="O992" t="s">
        <v>27</v>
      </c>
      <c r="P992">
        <v>23483.71</v>
      </c>
      <c r="Q992">
        <v>1413115.15</v>
      </c>
      <c r="R992" t="s">
        <v>28</v>
      </c>
      <c r="S992" s="1">
        <v>45556</v>
      </c>
    </row>
    <row r="993" spans="1:19" x14ac:dyDescent="0.25">
      <c r="A993" s="5" t="s">
        <v>2023</v>
      </c>
      <c r="B993" s="5" t="s">
        <v>2024</v>
      </c>
      <c r="C993" s="5" t="s">
        <v>21</v>
      </c>
      <c r="D993" s="5">
        <v>28</v>
      </c>
      <c r="E993" s="5" t="s">
        <v>32</v>
      </c>
      <c r="F993" s="5" t="s">
        <v>42</v>
      </c>
      <c r="G993" s="5" t="s">
        <v>33</v>
      </c>
      <c r="H993" s="5">
        <v>1637613</v>
      </c>
      <c r="I993">
        <v>585</v>
      </c>
      <c r="J993">
        <v>151138</v>
      </c>
      <c r="K993">
        <v>180</v>
      </c>
      <c r="L993">
        <v>8.1</v>
      </c>
      <c r="M993" t="s">
        <v>5</v>
      </c>
      <c r="N993" t="s">
        <v>51</v>
      </c>
      <c r="O993" t="s">
        <v>39</v>
      </c>
      <c r="P993">
        <v>907.67</v>
      </c>
      <c r="Q993">
        <v>64809.45</v>
      </c>
      <c r="R993" t="s">
        <v>28</v>
      </c>
      <c r="S993" s="1">
        <v>45312</v>
      </c>
    </row>
    <row r="994" spans="1:19" x14ac:dyDescent="0.25">
      <c r="A994" s="5" t="s">
        <v>2025</v>
      </c>
      <c r="B994" s="5" t="s">
        <v>2026</v>
      </c>
      <c r="C994" s="5" t="s">
        <v>31</v>
      </c>
      <c r="D994" s="5">
        <v>21</v>
      </c>
      <c r="E994" s="5" t="s">
        <v>32</v>
      </c>
      <c r="F994" s="5" t="s">
        <v>42</v>
      </c>
      <c r="G994" s="5" t="s">
        <v>33</v>
      </c>
      <c r="H994" s="5">
        <v>552734</v>
      </c>
      <c r="I994">
        <v>635</v>
      </c>
      <c r="J994">
        <v>1378514</v>
      </c>
      <c r="K994">
        <v>12</v>
      </c>
      <c r="L994">
        <v>7.75</v>
      </c>
      <c r="M994" t="s">
        <v>43</v>
      </c>
      <c r="N994" t="s">
        <v>51</v>
      </c>
      <c r="O994" t="s">
        <v>27</v>
      </c>
      <c r="P994">
        <v>123779.07</v>
      </c>
      <c r="Q994">
        <v>251915.17</v>
      </c>
      <c r="R994" t="s">
        <v>28</v>
      </c>
      <c r="S994" s="1">
        <v>45932</v>
      </c>
    </row>
    <row r="995" spans="1:19" x14ac:dyDescent="0.25">
      <c r="A995" s="5" t="s">
        <v>2027</v>
      </c>
      <c r="B995" s="5" t="s">
        <v>2028</v>
      </c>
      <c r="C995" s="5" t="s">
        <v>31</v>
      </c>
      <c r="D995" s="5">
        <v>34</v>
      </c>
      <c r="E995" s="5" t="s">
        <v>32</v>
      </c>
      <c r="F995" s="5" t="s">
        <v>23</v>
      </c>
      <c r="G995" s="5" t="s">
        <v>24</v>
      </c>
      <c r="H995" s="5">
        <v>671925</v>
      </c>
      <c r="I995">
        <v>834</v>
      </c>
      <c r="J995">
        <v>1823392</v>
      </c>
      <c r="K995">
        <v>60</v>
      </c>
      <c r="L995">
        <v>13.57</v>
      </c>
      <c r="M995" t="s">
        <v>25</v>
      </c>
      <c r="N995" t="s">
        <v>51</v>
      </c>
      <c r="O995" t="s">
        <v>27</v>
      </c>
      <c r="P995">
        <v>34513.769999999997</v>
      </c>
      <c r="Q995">
        <v>1819875.15</v>
      </c>
      <c r="R995" t="s">
        <v>28</v>
      </c>
      <c r="S995" s="1">
        <v>45609</v>
      </c>
    </row>
    <row r="996" spans="1:19" x14ac:dyDescent="0.25">
      <c r="A996" s="5" t="s">
        <v>2029</v>
      </c>
      <c r="B996" s="5" t="s">
        <v>2030</v>
      </c>
      <c r="C996" s="5" t="s">
        <v>31</v>
      </c>
      <c r="D996" s="5">
        <v>32</v>
      </c>
      <c r="E996" s="5" t="s">
        <v>22</v>
      </c>
      <c r="F996" s="5" t="s">
        <v>42</v>
      </c>
      <c r="G996" s="5" t="s">
        <v>33</v>
      </c>
      <c r="H996" s="5">
        <v>1213941</v>
      </c>
      <c r="I996">
        <v>611</v>
      </c>
      <c r="J996">
        <v>461572</v>
      </c>
      <c r="K996">
        <v>48</v>
      </c>
      <c r="L996">
        <v>13.87</v>
      </c>
      <c r="M996" t="s">
        <v>5</v>
      </c>
      <c r="N996" t="s">
        <v>51</v>
      </c>
      <c r="O996" t="s">
        <v>39</v>
      </c>
      <c r="P996">
        <v>10949.83</v>
      </c>
      <c r="Q996">
        <v>149574.16</v>
      </c>
      <c r="R996" t="s">
        <v>28</v>
      </c>
      <c r="S996" s="1">
        <v>45551</v>
      </c>
    </row>
    <row r="997" spans="1:19" x14ac:dyDescent="0.25">
      <c r="A997" s="5" t="s">
        <v>2031</v>
      </c>
      <c r="B997" s="5" t="s">
        <v>2032</v>
      </c>
      <c r="C997" s="5" t="s">
        <v>31</v>
      </c>
      <c r="D997" s="5">
        <v>58</v>
      </c>
      <c r="E997" s="5" t="s">
        <v>22</v>
      </c>
      <c r="F997" s="5" t="s">
        <v>23</v>
      </c>
      <c r="G997" s="5" t="s">
        <v>24</v>
      </c>
      <c r="H997" s="5">
        <v>864093</v>
      </c>
      <c r="I997">
        <v>561</v>
      </c>
      <c r="J997">
        <v>423179</v>
      </c>
      <c r="K997">
        <v>180</v>
      </c>
      <c r="L997">
        <v>14.64</v>
      </c>
      <c r="M997" t="s">
        <v>54</v>
      </c>
      <c r="N997" t="s">
        <v>44</v>
      </c>
      <c r="O997" t="s">
        <v>27</v>
      </c>
      <c r="P997">
        <v>2695.18</v>
      </c>
      <c r="Q997">
        <v>356833.18</v>
      </c>
      <c r="R997" t="s">
        <v>28</v>
      </c>
      <c r="S997" s="1">
        <v>45748</v>
      </c>
    </row>
    <row r="998" spans="1:19" x14ac:dyDescent="0.25">
      <c r="A998" s="5" t="s">
        <v>2033</v>
      </c>
      <c r="B998" s="5" t="s">
        <v>2034</v>
      </c>
      <c r="C998" s="5" t="s">
        <v>21</v>
      </c>
      <c r="D998" s="5">
        <v>41</v>
      </c>
      <c r="E998" s="5" t="s">
        <v>32</v>
      </c>
      <c r="F998" s="5" t="s">
        <v>42</v>
      </c>
      <c r="G998" s="5" t="s">
        <v>33</v>
      </c>
      <c r="H998" s="5">
        <v>487239</v>
      </c>
      <c r="I998">
        <v>651</v>
      </c>
      <c r="J998">
        <v>496985</v>
      </c>
      <c r="K998">
        <v>120</v>
      </c>
      <c r="L998">
        <v>12.58</v>
      </c>
      <c r="M998" t="s">
        <v>43</v>
      </c>
      <c r="N998" t="s">
        <v>38</v>
      </c>
      <c r="O998" t="s">
        <v>27</v>
      </c>
      <c r="P998">
        <v>4662.55</v>
      </c>
      <c r="Q998">
        <v>361697.18</v>
      </c>
      <c r="R998" t="s">
        <v>28</v>
      </c>
      <c r="S998" s="1">
        <v>45381</v>
      </c>
    </row>
    <row r="999" spans="1:19" x14ac:dyDescent="0.25">
      <c r="A999" s="5" t="s">
        <v>2035</v>
      </c>
      <c r="B999" s="5" t="s">
        <v>2036</v>
      </c>
      <c r="C999" s="5" t="s">
        <v>31</v>
      </c>
      <c r="D999" s="5">
        <v>37</v>
      </c>
      <c r="E999" s="5" t="s">
        <v>22</v>
      </c>
      <c r="F999" s="5" t="s">
        <v>23</v>
      </c>
      <c r="G999" s="5" t="s">
        <v>24</v>
      </c>
      <c r="H999" s="5">
        <v>370770</v>
      </c>
      <c r="I999">
        <v>681</v>
      </c>
      <c r="J999">
        <v>290840</v>
      </c>
      <c r="K999">
        <v>60</v>
      </c>
      <c r="L999">
        <v>13.35</v>
      </c>
      <c r="M999" t="s">
        <v>54</v>
      </c>
      <c r="N999" t="s">
        <v>104</v>
      </c>
      <c r="O999" t="s">
        <v>27</v>
      </c>
      <c r="P999">
        <v>5494.45</v>
      </c>
      <c r="Q999">
        <v>80004.429999999993</v>
      </c>
      <c r="R999" t="s">
        <v>28</v>
      </c>
      <c r="S999" s="1">
        <v>45436</v>
      </c>
    </row>
    <row r="1000" spans="1:19" x14ac:dyDescent="0.25">
      <c r="A1000" s="5" t="s">
        <v>2037</v>
      </c>
      <c r="B1000" s="5" t="s">
        <v>2038</v>
      </c>
      <c r="C1000" s="5" t="s">
        <v>21</v>
      </c>
      <c r="D1000" s="5">
        <v>36</v>
      </c>
      <c r="E1000" s="5" t="s">
        <v>32</v>
      </c>
      <c r="F1000" s="5" t="s">
        <v>23</v>
      </c>
      <c r="G1000" s="5" t="s">
        <v>24</v>
      </c>
      <c r="H1000" s="5">
        <v>514768</v>
      </c>
      <c r="I1000">
        <v>652</v>
      </c>
      <c r="J1000">
        <v>1352686</v>
      </c>
      <c r="K1000">
        <v>120</v>
      </c>
      <c r="L1000">
        <v>8.25</v>
      </c>
      <c r="M1000" t="s">
        <v>25</v>
      </c>
      <c r="N1000" t="s">
        <v>26</v>
      </c>
      <c r="O1000" t="s">
        <v>27</v>
      </c>
      <c r="P1000">
        <v>12202.35</v>
      </c>
      <c r="Q1000">
        <v>342180.87</v>
      </c>
      <c r="R1000" t="s">
        <v>28</v>
      </c>
      <c r="S1000" s="1">
        <v>45442</v>
      </c>
    </row>
    <row r="1001" spans="1:19" x14ac:dyDescent="0.25">
      <c r="A1001" s="5" t="s">
        <v>2039</v>
      </c>
      <c r="B1001" s="5" t="s">
        <v>2040</v>
      </c>
      <c r="C1001" s="5" t="s">
        <v>21</v>
      </c>
      <c r="D1001" s="5">
        <v>54</v>
      </c>
      <c r="E1001" s="5" t="s">
        <v>22</v>
      </c>
      <c r="F1001" s="5" t="s">
        <v>23</v>
      </c>
      <c r="G1001" s="5" t="s">
        <v>24</v>
      </c>
      <c r="H1001" s="5">
        <v>939535</v>
      </c>
      <c r="I1001">
        <v>609</v>
      </c>
      <c r="J1001">
        <v>1786709</v>
      </c>
      <c r="K1001">
        <v>180</v>
      </c>
      <c r="L1001">
        <v>14.9</v>
      </c>
      <c r="M1001" t="s">
        <v>25</v>
      </c>
      <c r="N1001" t="s">
        <v>38</v>
      </c>
      <c r="O1001" t="s">
        <v>27</v>
      </c>
      <c r="P1001">
        <v>11405.16</v>
      </c>
      <c r="Q1001">
        <v>484956.35</v>
      </c>
      <c r="R1001" t="s">
        <v>28</v>
      </c>
      <c r="S1001" s="1">
        <v>45579</v>
      </c>
    </row>
  </sheetData>
  <conditionalFormatting sqref="A2:A1001">
    <cfRule type="duplicateValues" dxfId="10" priority="2"/>
  </conditionalFormatting>
  <conditionalFormatting sqref="A1:A1048576">
    <cfRule type="duplicateValues" dxfId="9" priority="1"/>
  </conditionalFormatting>
  <pageMargins left="0.75" right="0.75" top="1" bottom="1" header="0.5" footer="0.5"/>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abSelected="1" zoomScaleNormal="100" workbookViewId="0">
      <selection activeCell="L18" sqref="L18"/>
    </sheetView>
  </sheetViews>
  <sheetFormatPr defaultRowHeight="15" x14ac:dyDescent="0.25"/>
  <cols>
    <col min="4" max="4" width="11" bestFit="1" customWidth="1"/>
    <col min="8" max="8" width="9.85546875" customWidth="1"/>
  </cols>
  <sheetData>
    <row r="1" spans="1:9" x14ac:dyDescent="0.25">
      <c r="A1" s="6" t="s">
        <v>2046</v>
      </c>
      <c r="B1" s="7"/>
      <c r="C1" s="7"/>
      <c r="D1" s="7"/>
      <c r="E1" s="7"/>
      <c r="F1" s="7"/>
      <c r="G1" s="7"/>
      <c r="H1" s="7"/>
    </row>
    <row r="3" spans="1:9" x14ac:dyDescent="0.25">
      <c r="A3" s="8" t="s">
        <v>2047</v>
      </c>
      <c r="B3" s="9"/>
      <c r="D3" s="10" t="s">
        <v>2048</v>
      </c>
      <c r="E3" s="10"/>
      <c r="F3" s="10"/>
      <c r="G3" s="11" t="s">
        <v>2049</v>
      </c>
      <c r="H3" s="10"/>
      <c r="I3" s="10"/>
    </row>
    <row r="4" spans="1:9" x14ac:dyDescent="0.25">
      <c r="A4" s="9"/>
      <c r="B4" s="9"/>
      <c r="D4" s="10"/>
      <c r="E4" s="10"/>
      <c r="F4" s="10"/>
      <c r="G4" s="10"/>
      <c r="H4" s="10"/>
      <c r="I4" s="10"/>
    </row>
    <row r="5" spans="1:9" x14ac:dyDescent="0.25">
      <c r="A5" s="9"/>
      <c r="B5" s="9"/>
      <c r="D5" s="10"/>
      <c r="E5" s="10"/>
      <c r="F5" s="10"/>
      <c r="G5" s="10"/>
      <c r="H5" s="10"/>
      <c r="I5" s="10"/>
    </row>
    <row r="6" spans="1:9" x14ac:dyDescent="0.25">
      <c r="A6">
        <f>'Total Loans'!A4</f>
        <v>1000</v>
      </c>
      <c r="D6">
        <f>GETPIVOTDATA("Loan_Amount",'Total Loan Amount'!$A$3)</f>
        <v>1048390264</v>
      </c>
      <c r="H6">
        <f>GETPIVOTDATA("Loan_Amount",Sheet3!$A$3)</f>
        <v>1048390.264</v>
      </c>
    </row>
  </sheetData>
  <mergeCells count="4">
    <mergeCell ref="A1:H1"/>
    <mergeCell ref="A3:B5"/>
    <mergeCell ref="D3:F5"/>
    <mergeCell ref="G3:I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 Loans</vt:lpstr>
      <vt:lpstr>Total Loan Amount</vt:lpstr>
      <vt:lpstr>Sheet3</vt:lpstr>
      <vt:lpstr>Loan Status Analysis</vt:lpstr>
      <vt:lpstr>loan by gender </vt:lpstr>
      <vt:lpstr>loan by employement </vt:lpstr>
      <vt:lpstr>Loan by State</vt:lpstr>
      <vt:lpstr>loan by purpose </vt:lpstr>
      <vt:lpstr>Default Analysis</vt:lpstr>
      <vt:lpstr>BankLoanData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2026-07-17T07:39:34Z</dcterms:created>
  <dcterms:modified xsi:type="dcterms:W3CDTF">2026-07-29T06:45:30Z</dcterms:modified>
</cp:coreProperties>
</file>